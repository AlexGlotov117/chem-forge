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"/>
    </mc:Choice>
  </mc:AlternateContent>
  <xr:revisionPtr revIDLastSave="0" documentId="13_ncr:1_{7FB2B75A-1069-41BE-9060-7BA2E25DBEE6}" xr6:coauthVersionLast="47" xr6:coauthVersionMax="47" xr10:uidLastSave="{00000000-0000-0000-0000-000000000000}"/>
  <bookViews>
    <workbookView xWindow="-28920" yWindow="-120" windowWidth="29040" windowHeight="15840" xr2:uid="{535DD4A0-2912-47A9-820B-218FC7178E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J3" i="1"/>
  <c r="J4" i="1"/>
  <c r="J5" i="1"/>
  <c r="J6" i="1"/>
  <c r="J7" i="1"/>
  <c r="J8" i="1"/>
  <c r="J9" i="1"/>
  <c r="J2" i="1"/>
  <c r="G2" i="1"/>
  <c r="N4" i="1"/>
  <c r="N3" i="1"/>
  <c r="N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O2" authorId="0" shapeId="0" xr:uid="{38B88A52-4C56-433F-80C1-0082841D0E2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1)https://matweb.com/search/datasheet.aspx?MatGUID=3118b2052ace4835a6d73687613def66&amp;ckck=1</t>
        </r>
      </text>
    </comment>
    <comment ref="N4" authorId="0" shapeId="0" xr:uid="{FBF27A95-B6A7-44EB-9970-EEADCAF92B12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1)https://iris.unito.it/bitstream/2318/1995351/2/Dematteis%20-%20PhD%20Thesis%20-%20DEF_REFEREE.pdf</t>
        </r>
      </text>
    </comment>
    <comment ref="O6" authorId="0" shapeId="0" xr:uid="{C2EC2B03-0223-48AF-894B-A38079C87F08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1)https://www.sciencedirect.com/science/article/abs/pii/S0040603115003354
2)https://www.sciencedirect.com/science/article/pii/S0016236125036129</t>
        </r>
      </text>
    </comment>
  </commentList>
</comments>
</file>

<file path=xl/sharedStrings.xml><?xml version="1.0" encoding="utf-8"?>
<sst xmlns="http://schemas.openxmlformats.org/spreadsheetml/2006/main" count="24" uniqueCount="23">
  <si>
    <t>T_m</t>
  </si>
  <si>
    <t>dH_fus</t>
  </si>
  <si>
    <t>dH_f</t>
  </si>
  <si>
    <t>SMILES</t>
  </si>
  <si>
    <t>lithium borohydride</t>
  </si>
  <si>
    <t>[BH4-].[Li+]</t>
  </si>
  <si>
    <t>sodium borohydride</t>
  </si>
  <si>
    <t>[BH4-].[Na+]</t>
  </si>
  <si>
    <t>tetrabutylammonium borohydride</t>
  </si>
  <si>
    <t>CCCC[N+](CCCC)(CCCC)CCCC.[BH4-]</t>
  </si>
  <si>
    <t>ammonia borane</t>
  </si>
  <si>
    <t>[BH3-][NH3+]</t>
  </si>
  <si>
    <t>potassium borohydride</t>
  </si>
  <si>
    <t>[BH4-].[K+]</t>
  </si>
  <si>
    <t>thiourea</t>
  </si>
  <si>
    <t>thioacetamide</t>
  </si>
  <si>
    <t>thiobenzamide</t>
  </si>
  <si>
    <t>C(=S)(N)N</t>
  </si>
  <si>
    <t>CC(=S)N</t>
  </si>
  <si>
    <t>C1=CC=C(C=C1)C(=S)N</t>
  </si>
  <si>
    <t>tetrabutylammonium chloride</t>
  </si>
  <si>
    <t>CCCC[N+](CCCC)(CCCC)CCCC.[Cl-]</t>
  </si>
  <si>
    <t>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</si>
</sst>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 vertical="center"/>
    </xf>
    <xf numFmtId="164" fontId="0" fillId="0" borderId="0" xfId="0" applyNumberFormat="1"/>
  </cellXfs>
  <cellStyles count="1">
    <cellStyle name="Normal" xfId="0" builtinId="0"/>
  </cellStyles>
  <dxfs count="2">
    <dxf>
      <font>
        <strike val="0"/>
        <color theme="1"/>
      </font>
      <fill>
        <patternFill>
          <bgColor rgb="FFFFFF00"/>
        </patternFill>
      </fill>
    </dxf>
    <dxf>
      <font>
        <strike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ABDE-AFF5-4072-A990-39ABD46EABEB}">
  <dimension ref="A1:O10"/>
  <sheetViews>
    <sheetView tabSelected="1" workbookViewId="0">
      <selection activeCell="J15" sqref="J15"/>
    </sheetView>
  </sheetViews>
  <sheetFormatPr defaultRowHeight="15" x14ac:dyDescent="0.25"/>
  <cols>
    <col min="1" max="1" width="31.42578125" bestFit="1" customWidth="1"/>
    <col min="3" max="3" width="42.85546875" bestFit="1" customWidth="1"/>
  </cols>
  <sheetData>
    <row r="1" spans="1:15" x14ac:dyDescent="0.25">
      <c r="C1" t="s">
        <v>3</v>
      </c>
      <c r="D1" t="s">
        <v>0</v>
      </c>
      <c r="G1" t="s">
        <v>1</v>
      </c>
      <c r="J1" t="s">
        <v>2</v>
      </c>
    </row>
    <row r="2" spans="1:15" x14ac:dyDescent="0.25">
      <c r="A2" t="s">
        <v>4</v>
      </c>
      <c r="C2" t="s">
        <v>5</v>
      </c>
      <c r="D2">
        <v>559.15</v>
      </c>
      <c r="G2">
        <f>N2/1000</f>
        <v>7.14</v>
      </c>
      <c r="J2">
        <f>O2/1000</f>
        <v>-190.8</v>
      </c>
      <c r="N2">
        <f>AVERAGE(7.56,6.72)*1000</f>
        <v>7140</v>
      </c>
      <c r="O2">
        <v>-190800</v>
      </c>
    </row>
    <row r="3" spans="1:15" x14ac:dyDescent="0.25">
      <c r="A3" t="s">
        <v>6</v>
      </c>
      <c r="C3" t="s">
        <v>7</v>
      </c>
      <c r="D3">
        <v>673.15</v>
      </c>
      <c r="G3">
        <f t="shared" ref="G3:G9" si="0">N3/1000</f>
        <v>16</v>
      </c>
      <c r="J3">
        <f t="shared" ref="J3:J9" si="1">O3/1000</f>
        <v>0</v>
      </c>
      <c r="N3">
        <f>AVERAGE(16.9,15.1)*1000</f>
        <v>16000</v>
      </c>
      <c r="O3">
        <v>0</v>
      </c>
    </row>
    <row r="4" spans="1:15" x14ac:dyDescent="0.25">
      <c r="A4" t="s">
        <v>12</v>
      </c>
      <c r="C4" t="s">
        <v>13</v>
      </c>
      <c r="D4">
        <v>878.15</v>
      </c>
      <c r="G4">
        <f t="shared" si="0"/>
        <v>19.2</v>
      </c>
      <c r="J4">
        <f t="shared" si="1"/>
        <v>0</v>
      </c>
      <c r="N4">
        <f>AVERAGE(19.2)*1000</f>
        <v>19200</v>
      </c>
      <c r="O4">
        <v>0</v>
      </c>
    </row>
    <row r="5" spans="1:15" x14ac:dyDescent="0.25">
      <c r="A5" t="s">
        <v>8</v>
      </c>
      <c r="C5" t="s">
        <v>9</v>
      </c>
      <c r="D5">
        <v>397.15</v>
      </c>
      <c r="G5">
        <f t="shared" si="0"/>
        <v>15.8</v>
      </c>
      <c r="J5">
        <f t="shared" si="1"/>
        <v>-395</v>
      </c>
      <c r="N5">
        <v>15800</v>
      </c>
      <c r="O5">
        <v>-395000</v>
      </c>
    </row>
    <row r="6" spans="1:15" x14ac:dyDescent="0.25">
      <c r="A6" t="s">
        <v>10</v>
      </c>
      <c r="C6" t="s">
        <v>11</v>
      </c>
      <c r="D6">
        <v>381.15</v>
      </c>
      <c r="G6">
        <f t="shared" si="0"/>
        <v>14.6</v>
      </c>
      <c r="J6">
        <f t="shared" si="1"/>
        <v>-133.4</v>
      </c>
      <c r="N6">
        <v>14600</v>
      </c>
      <c r="O6">
        <v>-133400</v>
      </c>
    </row>
    <row r="7" spans="1:15" x14ac:dyDescent="0.25">
      <c r="A7" t="s">
        <v>14</v>
      </c>
      <c r="C7" t="s">
        <v>17</v>
      </c>
      <c r="D7">
        <v>449.7</v>
      </c>
      <c r="G7">
        <f t="shared" si="0"/>
        <v>13.597</v>
      </c>
      <c r="J7">
        <f t="shared" si="1"/>
        <v>-89.1</v>
      </c>
      <c r="N7">
        <v>13597</v>
      </c>
      <c r="O7">
        <v>-89100</v>
      </c>
    </row>
    <row r="8" spans="1:15" x14ac:dyDescent="0.25">
      <c r="A8" t="s">
        <v>15</v>
      </c>
      <c r="C8" t="s">
        <v>18</v>
      </c>
      <c r="D8">
        <v>385.7</v>
      </c>
      <c r="G8">
        <f t="shared" si="0"/>
        <v>18.36</v>
      </c>
      <c r="J8">
        <f t="shared" si="1"/>
        <v>-73.010000000000005</v>
      </c>
      <c r="N8">
        <v>18360</v>
      </c>
      <c r="O8">
        <v>-73010</v>
      </c>
    </row>
    <row r="9" spans="1:15" x14ac:dyDescent="0.25">
      <c r="A9" t="s">
        <v>16</v>
      </c>
      <c r="C9" t="s">
        <v>19</v>
      </c>
      <c r="D9">
        <v>387.15</v>
      </c>
      <c r="G9">
        <f t="shared" si="0"/>
        <v>17.73</v>
      </c>
      <c r="J9">
        <f t="shared" si="1"/>
        <v>0</v>
      </c>
      <c r="N9">
        <v>17730</v>
      </c>
      <c r="O9">
        <v>0</v>
      </c>
    </row>
    <row r="10" spans="1:15" x14ac:dyDescent="0.25">
      <c r="A10" s="1" t="s">
        <v>20</v>
      </c>
      <c r="C10" t="s">
        <v>21</v>
      </c>
      <c r="D10">
        <v>314.14999999999998</v>
      </c>
      <c r="E10" t="s">
        <v>22</v>
      </c>
      <c r="F10">
        <v>1</v>
      </c>
      <c r="G10">
        <v>20.501600000000003</v>
      </c>
      <c r="H10" t="s">
        <v>22</v>
      </c>
      <c r="I10">
        <v>1</v>
      </c>
      <c r="J10" s="2">
        <v>-549.4</v>
      </c>
      <c r="K10" s="2">
        <v>21.778888860545631</v>
      </c>
      <c r="L10">
        <v>2</v>
      </c>
    </row>
  </sheetData>
  <conditionalFormatting sqref="A10">
    <cfRule type="expression" dxfId="1" priority="1">
      <formula>AND(F10&gt;0,I10&gt;0,L10&gt;0)</formula>
    </cfRule>
    <cfRule type="expression" dxfId="0" priority="2">
      <formula>OR(F10=0,I10=0,L10=0)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2026-09-11T21:23:31Z</dcterms:created>
  <dcterms:modified xsi:type="dcterms:W3CDTF">2026-09-15T23:05:41Z</dcterms:modified>
</cp:coreProperties>
</file>