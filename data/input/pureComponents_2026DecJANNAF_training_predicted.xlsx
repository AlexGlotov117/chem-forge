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input\"/>
    </mc:Choice>
  </mc:AlternateContent>
  <xr:revisionPtr revIDLastSave="0" documentId="13_ncr:1_{9929EAF2-8C1C-4E2F-8426-D7AE9219B28A}" xr6:coauthVersionLast="47" xr6:coauthVersionMax="47" xr10:uidLastSave="{00000000-0000-0000-0000-000000000000}"/>
  <bookViews>
    <workbookView xWindow="-28920" yWindow="-120" windowWidth="29040" windowHeight="15840" activeTab="1" xr2:uid="{22E7D031-F429-4E0A-8A8B-4D129F5BB641}"/>
  </bookViews>
  <sheets>
    <sheet name="Unfinished CATALOG" sheetId="1" r:id="rId1"/>
    <sheet name="Pure Input" sheetId="2" r:id="rId2"/>
    <sheet name="Binary Input" sheetId="3" r:id="rId3"/>
  </sheets>
  <definedNames>
    <definedName name="_xlnm._FilterDatabase" localSheetId="0" hidden="1">'Unfinished CATALOG'!$A$1:$F$1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4" i="1" l="1"/>
  <c r="D24" i="1"/>
  <c r="E23" i="1"/>
  <c r="E22" i="1"/>
  <c r="D22" i="1"/>
  <c r="E11" i="1"/>
  <c r="D11" i="1"/>
  <c r="F10" i="1"/>
  <c r="E10" i="1"/>
  <c r="D10" i="1"/>
  <c r="F7" i="1"/>
  <c r="E7" i="1"/>
  <c r="D7" i="1"/>
  <c r="D14" i="1"/>
  <c r="D29" i="1"/>
  <c r="E2" i="1"/>
  <c r="D3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Glotov</author>
  </authors>
  <commentList>
    <comment ref="D2" authorId="0" shapeId="0" xr:uid="{B7D4224E-A493-447D-84BA-7DDEFFF3C9D8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https://pubchem.ncbi.nlm.nih.gov/compound/Water#section=Melting-Point</t>
        </r>
      </text>
    </comment>
    <comment ref="E2" authorId="0" shapeId="0" xr:uid="{5995BC99-B557-4A15-B6FB-81F561DA6AD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https://www.engineeringtoolbox.com/water-thermal-properties-d_162.html</t>
        </r>
      </text>
    </comment>
    <comment ref="F2" authorId="0" shapeId="0" xr:uid="{783F21FA-4AD3-468F-B910-64A10EB1842D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1)https://atct.anl.gov/Thermochemical%20Data/version%201.220/species/?species_number=24</t>
        </r>
      </text>
    </comment>
    <comment ref="D3" authorId="0" shapeId="0" xr:uid="{2C99D34F-09BE-451B-8192-07DB24810E5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E3" authorId="0" shapeId="0" xr:uid="{36D0DEA9-FF41-4A3D-B02A-6E857248818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F3" authorId="0" shapeId="0" xr:uid="{380BD958-450B-4177-80CD-D9786D489AA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1)https://atct.anl.gov/Thermochemical%20Data/version%201.220/species/?species_number=1912</t>
        </r>
      </text>
    </comment>
    <comment ref="D4" authorId="0" shapeId="0" xr:uid="{49F68355-A445-4BAF-90F2-E3C2E9145A4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E4" authorId="0" shapeId="0" xr:uid="{ADF150B1-E417-45FE-81D2-E8DAE9F836D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Ashlee</t>
        </r>
      </text>
    </comment>
    <comment ref="F4" authorId="0" shapeId="0" xr:uid="{E5BF108A-0EA7-4AC6-92BA-13EC6989AEC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1)https://atct.anl.gov/Thermochemical%20Data/version%201.220/species/?species_number=1907</t>
        </r>
      </text>
    </comment>
    <comment ref="D5" authorId="0" shapeId="0" xr:uid="{787C61F0-F01E-4D84-8CAA-AAF894740532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Hilgeman, Mouroux, Mok, Holan</t>
        </r>
      </text>
    </comment>
    <comment ref="E5" authorId="0" shapeId="0" xr:uid="{B609F4F6-1D6F-4E43-899A-039D6BA4839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Hilgeman, Mouroux, Mok, Holan</t>
        </r>
      </text>
    </comment>
    <comment ref="F5" authorId="0" shapeId="0" xr:uid="{4457B27D-9D44-49EE-9499-EE2A8F5DB1F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1)https://webbook.nist.gov/cgi/cbook.cgi?ID=C288324&amp;Units=SI&amp;Mask=2#Thermo-Condensed</t>
        </r>
      </text>
    </comment>
    <comment ref="D6" authorId="0" shapeId="0" xr:uid="{4248127E-F186-424E-9304-4093375A6B0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1)https://webbook.nist.gov/cgi/cbook.cgi?ID=C141435&amp;Units=SI&amp;Mask=4#Thermo-Phase</t>
        </r>
      </text>
    </comment>
    <comment ref="E6" authorId="0" shapeId="0" xr:uid="{AEBB7345-F0F7-4DD9-B32E-D9F056EBEF40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1)https://www.sciencedirect.com/science/article/pii/S1750583613004258</t>
        </r>
      </text>
    </comment>
    <comment ref="F6" authorId="0" shapeId="0" xr:uid="{5106F13A-279A-4601-92D6-B2E92F9DD06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1)https://webbook.nist.gov/cgi/cbook.cgi?ID=C141435&amp;Units=SI&amp;Mask=2#Thermo-Condensed</t>
        </r>
      </text>
    </comment>
    <comment ref="D7" authorId="0" shapeId="0" xr:uid="{2CF6CDD1-F5E1-43E8-A19E-28BAAD5C627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https://webbook.nist.gov/cgi/cbook.cgi?ID=C56815&amp;Units=SI&amp;Mask=4#Thermo-Phase</t>
        </r>
      </text>
    </comment>
    <comment ref="E7" authorId="0" shapeId="0" xr:uid="{67560CD9-4B42-4009-8FEE-B7B0E0D24E4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https://webbook.nist.gov/cgi/cbook.cgi?ID=C56815&amp;Units=SI&amp;Mask=4#Thermo-Phase</t>
        </r>
      </text>
    </comment>
    <comment ref="F7" authorId="0" shapeId="0" xr:uid="{5E82BDD6-5DA8-4D10-AA85-ECD6AB017319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https://webbook.nist.gov/cgi/cbook.cgi?ID=C56815&amp;Units=SI&amp;Mask=2#Thermo-Condensed</t>
        </r>
      </text>
    </comment>
    <comment ref="D8" authorId="0" shapeId="0" xr:uid="{471E01A8-C311-4AC7-AEC5-5D6B6CAAD97B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E8" authorId="0" shapeId="0" xr:uid="{CBC558AB-017C-4385-AA76-E249D19B2033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F8" authorId="0" shapeId="0" xr:uid="{AB8D56E7-0CD8-4253-A680-DB2E9B7966F8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1)https://webbook.nist.gov/cgi/cbook.cgi?ID=C107153&amp;Mask=1E9F#Thermo-Condensed</t>
        </r>
      </text>
    </comment>
    <comment ref="D10" authorId="0" shapeId="0" xr:uid="{1E1D85AE-73C9-4EE5-9B10-D99F6D60BD0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https://webbook.nist.gov/cgi/cbook.cgi?ID=C111966&amp;Mask=4#Thermo-Phase</t>
        </r>
      </text>
    </comment>
    <comment ref="E10" authorId="0" shapeId="0" xr:uid="{EB6033F4-CA7E-49DB-BB17-C34560971AF5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https://webbook.nist.gov/cgi/cbook.cgi?ID=C111966&amp;Mask=4#Thermo-Phase</t>
        </r>
      </text>
    </comment>
    <comment ref="F10" authorId="0" shapeId="0" xr:uid="{525F711F-3C09-481A-85BF-92F18353722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https://webbook.nist.gov/cgi/cbook.cgi?ID=C111966&amp;Mask=2#Thermo-Condensed</t>
        </r>
      </text>
    </comment>
    <comment ref="D11" authorId="0" shapeId="0" xr:uid="{E3FE7A1B-338F-492F-A6BF-400F515D6E34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1)https://webbook.nist.gov/cgi/cbook.cgi?ID=C112492&amp;Units=SI&amp;Mask=4#Thermo-Phase</t>
        </r>
      </text>
    </comment>
    <comment ref="E11" authorId="0" shapeId="0" xr:uid="{65CE4E3C-BF7D-46D6-8CA4-96B3A0D09621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1)https://webbook.nist.gov/cgi/cbook.cgi?ID=C112492&amp;Units=SI&amp;Mask=4#Thermo-Phase</t>
        </r>
      </text>
    </comment>
    <comment ref="D14" authorId="0" shapeId="0" xr:uid="{B68F36C1-4BA4-48F1-99E3-8AD353A1321A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F14" authorId="0" shapeId="0" xr:uid="{BADEE219-B2DB-4696-8CD3-185AC97E6E32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1)https://www.sciencedirect.com/science/article/abs/pii/S0040603115003354
2)https://www.sciencedirect.com/science/article/pii/S0016236125036129</t>
        </r>
      </text>
    </comment>
    <comment ref="F22" authorId="0" shapeId="0" xr:uid="{E1A1E0C1-3AE1-4CDA-A225-D95E0807710C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1)https://matweb.com/search/datasheet.aspx?MatGUID=3118b2052ace4835a6d73687613def66&amp;ckck=1</t>
        </r>
      </text>
    </comment>
    <comment ref="D24" authorId="0" shapeId="0" xr:uid="{77977B3A-77FD-4B3F-B5BC-D929DC7D5296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1)https://iris.unito.it/bitstream/2318/1995351/2/Dematteis%20-%20PhD%20Thesis%20-%20DEF_REFEREE.pdf</t>
        </r>
      </text>
    </comment>
    <comment ref="E24" authorId="0" shapeId="0" xr:uid="{569CA5D4-C30C-423C-827D-117707B91194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1)https://iris.unito.it/bitstream/2318/1995351/2/Dematteis%20-%20PhD%20Thesis%20-%20DEF_REFEREE.pdf</t>
        </r>
      </text>
    </comment>
    <comment ref="D29" authorId="0" shapeId="0" xr:uid="{74CA7090-F16F-4E81-9C1D-4C76B0CA001F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Source(s):
1)https://advanced.onlinelibrary.wiley.com/doi/10.1002/adma.202502566</t>
        </r>
      </text>
    </comment>
    <comment ref="D34" authorId="0" shapeId="0" xr:uid="{D4CAD80C-B7CB-420F-8676-3A2ADB9B10C7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https://webbook.nist.gov/cgi/cbook.cgi?ID=C1643192&amp;Mask=1EFF#Thermo-Gas</t>
        </r>
      </text>
    </comment>
    <comment ref="E34" authorId="0" shapeId="0" xr:uid="{5850F739-EC51-4500-92CB-C367CCC5DCEE}">
      <text>
        <r>
          <rPr>
            <b/>
            <sz val="9"/>
            <color indexed="81"/>
            <rFont val="Tahoma"/>
            <family val="2"/>
          </rPr>
          <t>Alexander Glotov:</t>
        </r>
        <r>
          <rPr>
            <sz val="9"/>
            <color indexed="81"/>
            <rFont val="Tahoma"/>
            <family val="2"/>
          </rPr>
          <t xml:space="preserve">
https://webbook.nist.gov/cgi/cbook.cgi?ID=C1643192&amp;Mask=1EFF#Thermo-Gas</t>
        </r>
      </text>
    </comment>
  </commentList>
</comments>
</file>

<file path=xl/sharedStrings.xml><?xml version="1.0" encoding="utf-8"?>
<sst xmlns="http://schemas.openxmlformats.org/spreadsheetml/2006/main" count="346" uniqueCount="150">
  <si>
    <t>Full Name</t>
  </si>
  <si>
    <t>Symbol</t>
  </si>
  <si>
    <t>SMILES</t>
  </si>
  <si>
    <t>Melting Temp
[K]</t>
  </si>
  <si>
    <t>Heat of Fusion
[J/mol]</t>
  </si>
  <si>
    <t>Standard Heat of Formation
[J/mol]</t>
  </si>
  <si>
    <t>Urea</t>
  </si>
  <si>
    <t>CH4N2O</t>
  </si>
  <si>
    <t>Monoethanolamine</t>
  </si>
  <si>
    <t>NC(N)=O</t>
  </si>
  <si>
    <t>NCCO</t>
  </si>
  <si>
    <t>Acetamide</t>
  </si>
  <si>
    <t>C2H5NO</t>
  </si>
  <si>
    <t>Imidazole</t>
  </si>
  <si>
    <t>Water</t>
  </si>
  <si>
    <t>H2O</t>
  </si>
  <si>
    <t>O</t>
  </si>
  <si>
    <t>Ethylenediamine</t>
  </si>
  <si>
    <t>CC(N)=O</t>
  </si>
  <si>
    <t>NCCN</t>
  </si>
  <si>
    <t>c1c[nH]cn1</t>
  </si>
  <si>
    <t>Tetrabutylammonium Borohydride</t>
  </si>
  <si>
    <t>Ammonia Borane</t>
  </si>
  <si>
    <t>[BH3-][NH3+]</t>
  </si>
  <si>
    <t>Lithium Borohydride</t>
  </si>
  <si>
    <t>Sodium Borohydride</t>
  </si>
  <si>
    <t>Glycerol</t>
  </si>
  <si>
    <t>C3H8O3</t>
  </si>
  <si>
    <t>Diglyme</t>
  </si>
  <si>
    <t>C6H14O3</t>
  </si>
  <si>
    <t>Tetraethylammonium Borohydride</t>
  </si>
  <si>
    <t>CC[N+](CC)(CC)CC.[BH4-]</t>
  </si>
  <si>
    <t>Trigylme</t>
  </si>
  <si>
    <t>Tetraglyme</t>
  </si>
  <si>
    <t>Tetrapropylammonium Borohydride</t>
  </si>
  <si>
    <t>Tetramethylammonium Borohydride</t>
  </si>
  <si>
    <t>Methylamine Borane</t>
  </si>
  <si>
    <t>Butylamine Borane</t>
  </si>
  <si>
    <t>Ethylamine Borane</t>
  </si>
  <si>
    <t>Propylamine Borane</t>
  </si>
  <si>
    <t>Trimethylbutylammonium borohydride</t>
  </si>
  <si>
    <t>Tetrabutylphosphonium borohydride</t>
  </si>
  <si>
    <t>Dimethylamine Borane</t>
  </si>
  <si>
    <t>Trimethylamine Borane</t>
  </si>
  <si>
    <t>[B-][NH2+]C</t>
  </si>
  <si>
    <t>[B][N+](C)(C)C</t>
  </si>
  <si>
    <t>[BH3-][NH2+]CCC</t>
  </si>
  <si>
    <t>---</t>
  </si>
  <si>
    <t>CNC.[B]</t>
  </si>
  <si>
    <t>CCN.[B]</t>
  </si>
  <si>
    <t>CCCCN.[B]</t>
  </si>
  <si>
    <t>[BH4-].[Li+]</t>
  </si>
  <si>
    <t>[BH4-].[Na+]</t>
  </si>
  <si>
    <t>C[N+](C)(C)C.[BH4-]</t>
  </si>
  <si>
    <t>CCCC[N+](CCCC)(CCCC)CCCC.[BH4-]</t>
  </si>
  <si>
    <t>COCCOCCOC</t>
  </si>
  <si>
    <t>COCCOCCOCCOC</t>
  </si>
  <si>
    <t>COCCOCCOCCOCCOC</t>
  </si>
  <si>
    <t>Thiourea</t>
  </si>
  <si>
    <t>Thioacetamide</t>
  </si>
  <si>
    <t>Thiobenzamide</t>
  </si>
  <si>
    <t>Thioisonicotinamide</t>
  </si>
  <si>
    <t>Pyrrole-2-thiocarboxamide</t>
  </si>
  <si>
    <t>Pyridine-2-thiocarboxamide</t>
  </si>
  <si>
    <t>Cyclopropanethiocarboxamide</t>
  </si>
  <si>
    <t>C(=S)(N)N</t>
  </si>
  <si>
    <t>CC(=S)N</t>
  </si>
  <si>
    <t>C1=CC=C(C=C1)C(=S)N</t>
  </si>
  <si>
    <t>Thioisobutyramide</t>
  </si>
  <si>
    <t>C1=CN=CC=C1C(=S)N</t>
  </si>
  <si>
    <t>CC(C)C(=S)N</t>
  </si>
  <si>
    <t>C1=CNC(=C1)C(=S)N</t>
  </si>
  <si>
    <t>C1=CC=NC(=C1)C(=S)N</t>
  </si>
  <si>
    <t>C1CC1C(=S)N</t>
  </si>
  <si>
    <t>Tetra-N-butylammonium bromide</t>
  </si>
  <si>
    <t>Potassium Borohydride</t>
  </si>
  <si>
    <t>[BH4-].[K+]</t>
  </si>
  <si>
    <t>Melting Temperature STDEV [K]</t>
  </si>
  <si>
    <t>Melting Temperature Count</t>
  </si>
  <si>
    <t>Enthalpy of Fusion [kJ/mol]</t>
  </si>
  <si>
    <t>Enthalpy of Fusion STDEV [kJ/mol]</t>
  </si>
  <si>
    <t>Enthalpy of Fusion Count</t>
  </si>
  <si>
    <t>Enthalpy of Formation STDEV [kJ/mol]</t>
  </si>
  <si>
    <t>Enthalpy of Formation Count</t>
  </si>
  <si>
    <t>Melting Temperature [K]</t>
  </si>
  <si>
    <t>Enthalpy of Formation [kJ/mol]</t>
  </si>
  <si>
    <t>tetrabutylammonium chloride</t>
  </si>
  <si>
    <t>CCCC[N+](CCCC)(CCCC)CCCC.[Cl-]</t>
  </si>
  <si>
    <t>tetramethylammonium chloride</t>
  </si>
  <si>
    <t>tetraethylammonium bromide</t>
  </si>
  <si>
    <t>tetrapropylammonium bromide</t>
  </si>
  <si>
    <t>tetraethylammonium chloride</t>
  </si>
  <si>
    <t>tetrapropylammonium chloride</t>
  </si>
  <si>
    <t>potassium chloride</t>
  </si>
  <si>
    <t>lithium chloride</t>
  </si>
  <si>
    <t>C[N+](C)(C)C.[Cl-]</t>
  </si>
  <si>
    <t>CCC[N+](CCC)(CCC)CCC.[Br-]</t>
  </si>
  <si>
    <t>CC[N+](CC)(CC)CC.[Cl-]</t>
  </si>
  <si>
    <t>CCC[N+](CCC)(CCC)CCC.[Cl-]</t>
  </si>
  <si>
    <t>[K+].[Cl-]</t>
  </si>
  <si>
    <t>[Li+].[Cl-]</t>
  </si>
  <si>
    <t>Chemical (1)</t>
  </si>
  <si>
    <t>Chemical (2)</t>
  </si>
  <si>
    <t>Composition (1)</t>
  </si>
  <si>
    <t>Composition (2)</t>
  </si>
  <si>
    <t>Temperature</t>
  </si>
  <si>
    <t>Temperature Unit</t>
  </si>
  <si>
    <t>K</t>
  </si>
  <si>
    <t>lithium borohydride</t>
  </si>
  <si>
    <t>dimethylamine</t>
  </si>
  <si>
    <t>CNC</t>
  </si>
  <si>
    <t>sodium chloride</t>
  </si>
  <si>
    <t>[Na+].[Cl-]</t>
  </si>
  <si>
    <t>tetrabutylammonium bromide</t>
  </si>
  <si>
    <t>CCCC[N+](CCCC)(CCCC)CCCC.[Br-]</t>
  </si>
  <si>
    <t>tetrabutylammonium iodide</t>
  </si>
  <si>
    <t>CCCC[N+](CCCC)(CCCC)CCCC.[I-]</t>
  </si>
  <si>
    <t>tetraethylammonium iodide</t>
  </si>
  <si>
    <t>CC[N+](CC)(CC)CC.[I-]</t>
  </si>
  <si>
    <t>tetraheptylammonium chloride</t>
  </si>
  <si>
    <t>CCCCCCC[N+](CCCCCCC)(CCCCCCC)CCCCCCC.[Cl-]</t>
  </si>
  <si>
    <t>tetrahexylammonium bromide</t>
  </si>
  <si>
    <t>CCCCCC[N+](CCCCCC)(CCCCCC)CCCCCC.[Br-]</t>
  </si>
  <si>
    <t>tetramethylammonium bromide</t>
  </si>
  <si>
    <t>C[N+](C)(C)C.[Br-]</t>
  </si>
  <si>
    <t>tetramethylammonium iodide</t>
  </si>
  <si>
    <t>C[N+](C)(C)C.[I-]</t>
  </si>
  <si>
    <t>tetrapentylammonium bromide</t>
  </si>
  <si>
    <t>CCCCC[N+](CCCCC)(CCCCC)CCCCC.[Br-]</t>
  </si>
  <si>
    <t>tetrapentylammonium chloride</t>
  </si>
  <si>
    <t>CCCCC[N+](CCCCC)(CCCCC)CCCCC.[Cl-]</t>
  </si>
  <si>
    <t>tetrapentylammonium iodide</t>
  </si>
  <si>
    <t>CCCCC[N+](CCCCC)(CCCCC)CCCCC.[I-]</t>
  </si>
  <si>
    <t>tetrapropylammonium iodide</t>
  </si>
  <si>
    <t>CCC[N+](CCC)(CCC)CCC.[I-]</t>
  </si>
  <si>
    <t>trimethylamine</t>
  </si>
  <si>
    <t>CN(C)C</t>
  </si>
  <si>
    <t>dimethylamine borane</t>
  </si>
  <si>
    <t>[B].CNC</t>
  </si>
  <si>
    <t>trimethylamine borane</t>
  </si>
  <si>
    <t>[B].CN(C)C</t>
  </si>
  <si>
    <t>sodium borohydride</t>
  </si>
  <si>
    <t>potassium borohydride</t>
  </si>
  <si>
    <t>butylamine borane</t>
  </si>
  <si>
    <t>hexylamine borane</t>
  </si>
  <si>
    <t>CCCCCCN.[B]</t>
  </si>
  <si>
    <t>octylamine borane</t>
  </si>
  <si>
    <t>CCCCCCCCN.[B]</t>
  </si>
  <si>
    <t>decylamine borane</t>
  </si>
  <si>
    <t>CCCCCCCCCCN.[B]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</si>
</sst>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CF41-2FA5-4790-AC55-DE65A2BCB50A}">
  <dimension ref="A1:F43"/>
  <sheetViews>
    <sheetView topLeftCell="A3" workbookViewId="0">
      <selection activeCell="D14" sqref="D14:F14"/>
    </sheetView>
  </sheetViews>
  <sheetFormatPr defaultRowHeight="15" x14ac:dyDescent="0.25"/>
  <cols>
    <col min="1" max="1" width="37.28515625" bestFit="1" customWidth="1"/>
    <col min="2" max="2" width="8.28515625" bestFit="1" customWidth="1"/>
    <col min="3" max="3" width="32.28515625" bestFit="1" customWidth="1"/>
    <col min="4" max="4" width="12.7109375" bestFit="1" customWidth="1"/>
    <col min="5" max="5" width="13.7109375" bestFit="1" customWidth="1"/>
    <col min="6" max="6" width="25.710937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14</v>
      </c>
      <c r="B2" t="s">
        <v>15</v>
      </c>
      <c r="C2" t="s">
        <v>16</v>
      </c>
      <c r="D2">
        <v>273.14999999999998</v>
      </c>
      <c r="E2">
        <f>334000*(0.018)</f>
        <v>6012</v>
      </c>
      <c r="F2">
        <v>-285802</v>
      </c>
    </row>
    <row r="3" spans="1:6" x14ac:dyDescent="0.25">
      <c r="A3" s="3" t="s">
        <v>11</v>
      </c>
      <c r="B3" t="s">
        <v>12</v>
      </c>
      <c r="C3" t="s">
        <v>18</v>
      </c>
      <c r="D3">
        <f>79+273.15</f>
        <v>352.15</v>
      </c>
      <c r="E3">
        <v>7730</v>
      </c>
      <c r="F3">
        <v>-315890</v>
      </c>
    </row>
    <row r="4" spans="1:6" x14ac:dyDescent="0.25">
      <c r="A4" s="3" t="s">
        <v>6</v>
      </c>
      <c r="B4" t="s">
        <v>7</v>
      </c>
      <c r="C4" t="s">
        <v>9</v>
      </c>
      <c r="D4">
        <f>133+273.15</f>
        <v>406.15</v>
      </c>
      <c r="E4">
        <v>10340</v>
      </c>
      <c r="F4">
        <v>-333330</v>
      </c>
    </row>
    <row r="5" spans="1:6" x14ac:dyDescent="0.25">
      <c r="A5" s="3" t="s">
        <v>13</v>
      </c>
      <c r="C5" t="s">
        <v>20</v>
      </c>
      <c r="D5">
        <v>363.7</v>
      </c>
      <c r="E5">
        <v>12500</v>
      </c>
      <c r="F5">
        <v>49800</v>
      </c>
    </row>
    <row r="6" spans="1:6" x14ac:dyDescent="0.25">
      <c r="A6" s="3" t="s">
        <v>8</v>
      </c>
      <c r="C6" t="s">
        <v>10</v>
      </c>
      <c r="D6">
        <v>283.45999999999998</v>
      </c>
      <c r="E6">
        <v>13800</v>
      </c>
      <c r="F6">
        <v>-507500</v>
      </c>
    </row>
    <row r="7" spans="1:6" x14ac:dyDescent="0.25">
      <c r="A7" s="3" t="s">
        <v>26</v>
      </c>
      <c r="B7" t="s">
        <v>27</v>
      </c>
      <c r="D7" s="4">
        <f>(292+291+293+291.75)/4</f>
        <v>291.9375</v>
      </c>
      <c r="E7">
        <f>(18.303+18.285+18.28+18.476)/4*1000</f>
        <v>18336</v>
      </c>
      <c r="F7">
        <f>(-669.6-668.6)/2</f>
        <v>-669.1</v>
      </c>
    </row>
    <row r="8" spans="1:6" x14ac:dyDescent="0.25">
      <c r="A8" s="3" t="s">
        <v>17</v>
      </c>
      <c r="C8" t="s">
        <v>19</v>
      </c>
      <c r="D8">
        <v>284.2</v>
      </c>
      <c r="E8">
        <v>21830</v>
      </c>
      <c r="F8">
        <v>-63010</v>
      </c>
    </row>
    <row r="10" spans="1:6" x14ac:dyDescent="0.25">
      <c r="A10" s="3" t="s">
        <v>28</v>
      </c>
      <c r="B10" t="s">
        <v>29</v>
      </c>
      <c r="C10" t="s">
        <v>55</v>
      </c>
      <c r="D10">
        <f>(209.1+209.15)/2</f>
        <v>209.125</v>
      </c>
      <c r="E10">
        <f>(17.78+17.795)/2*1000</f>
        <v>17787.5</v>
      </c>
      <c r="F10">
        <f>(-556.4-569.4)/2*1000</f>
        <v>-562900</v>
      </c>
    </row>
    <row r="11" spans="1:6" x14ac:dyDescent="0.25">
      <c r="A11" s="3" t="s">
        <v>32</v>
      </c>
      <c r="C11" t="s">
        <v>56</v>
      </c>
      <c r="D11">
        <f>AVERAGE(228.15,228)</f>
        <v>228.07499999999999</v>
      </c>
      <c r="E11">
        <f>AVERAGE(23.71,23.715)*1000</f>
        <v>23712.5</v>
      </c>
      <c r="F11">
        <v>-687000</v>
      </c>
    </row>
    <row r="12" spans="1:6" x14ac:dyDescent="0.25">
      <c r="A12" s="3" t="s">
        <v>33</v>
      </c>
      <c r="C12" t="s">
        <v>57</v>
      </c>
      <c r="D12">
        <v>243.45</v>
      </c>
      <c r="E12">
        <v>29300</v>
      </c>
      <c r="F12">
        <v>-814000</v>
      </c>
    </row>
    <row r="13" spans="1:6" x14ac:dyDescent="0.25">
      <c r="A13" s="3"/>
    </row>
    <row r="14" spans="1:6" x14ac:dyDescent="0.25">
      <c r="A14" s="3" t="s">
        <v>22</v>
      </c>
      <c r="C14" t="s">
        <v>23</v>
      </c>
      <c r="D14">
        <f>273.15+108</f>
        <v>381.15</v>
      </c>
      <c r="E14">
        <v>14600</v>
      </c>
      <c r="F14">
        <v>-133400</v>
      </c>
    </row>
    <row r="15" spans="1:6" x14ac:dyDescent="0.25">
      <c r="A15" s="3" t="s">
        <v>36</v>
      </c>
      <c r="C15" t="s">
        <v>44</v>
      </c>
      <c r="D15">
        <v>329.15</v>
      </c>
      <c r="E15">
        <v>13800</v>
      </c>
      <c r="F15">
        <v>-158000</v>
      </c>
    </row>
    <row r="16" spans="1:6" x14ac:dyDescent="0.25">
      <c r="A16" t="s">
        <v>42</v>
      </c>
      <c r="C16" t="s">
        <v>48</v>
      </c>
      <c r="D16">
        <v>309.14999999999998</v>
      </c>
      <c r="E16">
        <v>12100</v>
      </c>
      <c r="F16">
        <v>-186000</v>
      </c>
    </row>
    <row r="17" spans="1:6" x14ac:dyDescent="0.25">
      <c r="A17" t="s">
        <v>43</v>
      </c>
      <c r="C17" t="s">
        <v>45</v>
      </c>
      <c r="D17">
        <v>367.15</v>
      </c>
      <c r="E17">
        <v>10500</v>
      </c>
      <c r="F17">
        <v>-218000</v>
      </c>
    </row>
    <row r="18" spans="1:6" x14ac:dyDescent="0.25">
      <c r="A18" s="3" t="s">
        <v>38</v>
      </c>
      <c r="C18" t="s">
        <v>49</v>
      </c>
    </row>
    <row r="19" spans="1:6" x14ac:dyDescent="0.25">
      <c r="A19" s="3" t="s">
        <v>39</v>
      </c>
      <c r="C19" t="s">
        <v>46</v>
      </c>
    </row>
    <row r="20" spans="1:6" x14ac:dyDescent="0.25">
      <c r="A20" s="3" t="s">
        <v>37</v>
      </c>
      <c r="C20" t="s">
        <v>50</v>
      </c>
    </row>
    <row r="21" spans="1:6" x14ac:dyDescent="0.25">
      <c r="A21" s="3"/>
    </row>
    <row r="22" spans="1:6" x14ac:dyDescent="0.25">
      <c r="A22" s="3" t="s">
        <v>24</v>
      </c>
      <c r="C22" t="s">
        <v>51</v>
      </c>
      <c r="D22">
        <f>273.15+286</f>
        <v>559.15</v>
      </c>
      <c r="E22">
        <f>AVERAGE(7.56,6.72)*1000</f>
        <v>7140</v>
      </c>
      <c r="F22">
        <v>-190800</v>
      </c>
    </row>
    <row r="23" spans="1:6" x14ac:dyDescent="0.25">
      <c r="A23" s="3" t="s">
        <v>25</v>
      </c>
      <c r="C23" t="s">
        <v>52</v>
      </c>
      <c r="D23">
        <v>673.15</v>
      </c>
      <c r="E23">
        <f>AVERAGE(16.9,15.1)*1000</f>
        <v>16000</v>
      </c>
    </row>
    <row r="24" spans="1:6" x14ac:dyDescent="0.25">
      <c r="A24" s="3" t="s">
        <v>75</v>
      </c>
      <c r="C24" t="s">
        <v>76</v>
      </c>
      <c r="D24">
        <f>273.15+605</f>
        <v>878.15</v>
      </c>
      <c r="E24">
        <f>AVERAGE(19.2)*1000</f>
        <v>19200</v>
      </c>
    </row>
    <row r="25" spans="1:6" x14ac:dyDescent="0.25">
      <c r="A25" s="3"/>
    </row>
    <row r="26" spans="1:6" x14ac:dyDescent="0.25">
      <c r="A26" s="3" t="s">
        <v>35</v>
      </c>
      <c r="C26" t="s">
        <v>53</v>
      </c>
    </row>
    <row r="27" spans="1:6" x14ac:dyDescent="0.25">
      <c r="A27" s="3" t="s">
        <v>30</v>
      </c>
      <c r="C27" t="s">
        <v>31</v>
      </c>
    </row>
    <row r="28" spans="1:6" x14ac:dyDescent="0.25">
      <c r="A28" s="3" t="s">
        <v>34</v>
      </c>
      <c r="C28" s="5" t="s">
        <v>47</v>
      </c>
    </row>
    <row r="29" spans="1:6" x14ac:dyDescent="0.25">
      <c r="A29" s="3" t="s">
        <v>21</v>
      </c>
      <c r="C29" t="s">
        <v>54</v>
      </c>
      <c r="D29">
        <f>273.15+124</f>
        <v>397.15</v>
      </c>
      <c r="E29">
        <v>15800</v>
      </c>
      <c r="F29">
        <v>-395000</v>
      </c>
    </row>
    <row r="31" spans="1:6" x14ac:dyDescent="0.25">
      <c r="A31" s="3" t="s">
        <v>40</v>
      </c>
      <c r="C31" s="5" t="s">
        <v>47</v>
      </c>
    </row>
    <row r="32" spans="1:6" x14ac:dyDescent="0.25">
      <c r="A32" s="3" t="s">
        <v>41</v>
      </c>
      <c r="C32" s="5" t="s">
        <v>47</v>
      </c>
    </row>
    <row r="33" spans="1:6" x14ac:dyDescent="0.25">
      <c r="A33" s="3"/>
      <c r="C33" s="5"/>
    </row>
    <row r="34" spans="1:6" x14ac:dyDescent="0.25">
      <c r="A34" s="3" t="s">
        <v>74</v>
      </c>
      <c r="C34" s="5"/>
      <c r="D34">
        <v>395</v>
      </c>
      <c r="E34">
        <v>16150</v>
      </c>
    </row>
    <row r="36" spans="1:6" x14ac:dyDescent="0.25">
      <c r="A36" s="3" t="s">
        <v>58</v>
      </c>
      <c r="C36" t="s">
        <v>65</v>
      </c>
      <c r="D36">
        <v>449.7</v>
      </c>
      <c r="E36">
        <v>13597</v>
      </c>
      <c r="F36">
        <v>-89100</v>
      </c>
    </row>
    <row r="37" spans="1:6" x14ac:dyDescent="0.25">
      <c r="A37" s="3" t="s">
        <v>59</v>
      </c>
      <c r="C37" t="s">
        <v>66</v>
      </c>
      <c r="D37">
        <v>385.7</v>
      </c>
      <c r="E37">
        <v>18360</v>
      </c>
      <c r="F37">
        <v>-73010</v>
      </c>
    </row>
    <row r="38" spans="1:6" x14ac:dyDescent="0.25">
      <c r="A38" s="3" t="s">
        <v>60</v>
      </c>
      <c r="C38" t="s">
        <v>67</v>
      </c>
      <c r="D38">
        <v>387.15</v>
      </c>
      <c r="E38">
        <v>17730</v>
      </c>
    </row>
    <row r="39" spans="1:6" x14ac:dyDescent="0.25">
      <c r="A39" s="3" t="s">
        <v>61</v>
      </c>
      <c r="C39" t="s">
        <v>69</v>
      </c>
      <c r="D39">
        <v>473.15</v>
      </c>
    </row>
    <row r="40" spans="1:6" x14ac:dyDescent="0.25">
      <c r="A40" s="3" t="s">
        <v>68</v>
      </c>
      <c r="C40" t="s">
        <v>70</v>
      </c>
      <c r="D40">
        <v>319.64999999999998</v>
      </c>
    </row>
    <row r="41" spans="1:6" x14ac:dyDescent="0.25">
      <c r="A41" s="3" t="s">
        <v>62</v>
      </c>
      <c r="C41" t="s">
        <v>71</v>
      </c>
    </row>
    <row r="42" spans="1:6" x14ac:dyDescent="0.25">
      <c r="A42" s="3" t="s">
        <v>63</v>
      </c>
      <c r="C42" t="s">
        <v>72</v>
      </c>
      <c r="D42">
        <v>410.15</v>
      </c>
    </row>
    <row r="43" spans="1:6" x14ac:dyDescent="0.25">
      <c r="A43" s="3" t="s">
        <v>64</v>
      </c>
      <c r="C43" t="s">
        <v>73</v>
      </c>
      <c r="D43">
        <v>385.15</v>
      </c>
    </row>
  </sheetData>
  <autoFilter ref="A1:F1" xr:uid="{3399CF41-2FA5-4790-AC55-DE65A2BCB50A}">
    <sortState xmlns:xlrd2="http://schemas.microsoft.com/office/spreadsheetml/2017/richdata2" ref="A2:F14">
      <sortCondition ref="E1"/>
    </sortState>
  </autoFilter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86A1-84C7-4241-A3B9-138356725320}">
  <dimension ref="A1:L31"/>
  <sheetViews>
    <sheetView tabSelected="1" workbookViewId="0">
      <selection activeCell="D15" sqref="D15"/>
    </sheetView>
  </sheetViews>
  <sheetFormatPr defaultRowHeight="15" x14ac:dyDescent="0.25"/>
  <cols>
    <col min="1" max="1" width="33.28515625" bestFit="1" customWidth="1"/>
    <col min="2" max="2" width="8.28515625" bestFit="1" customWidth="1"/>
    <col min="3" max="3" width="44.7109375" bestFit="1" customWidth="1"/>
    <col min="4" max="4" width="19.42578125" customWidth="1"/>
    <col min="5" max="5" width="19.7109375" customWidth="1"/>
    <col min="6" max="6" width="19.85546875" customWidth="1"/>
    <col min="7" max="7" width="18.42578125" customWidth="1"/>
    <col min="8" max="8" width="18" customWidth="1"/>
    <col min="9" max="9" width="12.85546875" customWidth="1"/>
    <col min="10" max="11" width="20.5703125" bestFit="1" customWidth="1"/>
    <col min="12" max="12" width="15.85546875" bestFit="1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2" t="s">
        <v>84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85</v>
      </c>
      <c r="K1" s="2" t="s">
        <v>82</v>
      </c>
      <c r="L1" s="2" t="s">
        <v>83</v>
      </c>
    </row>
    <row r="2" spans="1:12" x14ac:dyDescent="0.25">
      <c r="A2" s="3" t="s">
        <v>113</v>
      </c>
      <c r="C2" t="s">
        <v>114</v>
      </c>
    </row>
    <row r="3" spans="1:12" x14ac:dyDescent="0.25">
      <c r="A3" s="3" t="s">
        <v>86</v>
      </c>
      <c r="C3" t="s">
        <v>87</v>
      </c>
    </row>
    <row r="4" spans="1:12" x14ac:dyDescent="0.25">
      <c r="A4" s="3" t="s">
        <v>115</v>
      </c>
      <c r="C4" t="s">
        <v>116</v>
      </c>
    </row>
    <row r="5" spans="1:12" x14ac:dyDescent="0.25">
      <c r="A5" s="3" t="s">
        <v>91</v>
      </c>
      <c r="C5" t="s">
        <v>97</v>
      </c>
    </row>
    <row r="6" spans="1:12" x14ac:dyDescent="0.25">
      <c r="A6" s="3" t="s">
        <v>117</v>
      </c>
      <c r="C6" t="s">
        <v>118</v>
      </c>
    </row>
    <row r="7" spans="1:12" x14ac:dyDescent="0.25">
      <c r="A7" s="3" t="s">
        <v>119</v>
      </c>
      <c r="C7" t="s">
        <v>120</v>
      </c>
    </row>
    <row r="8" spans="1:12" x14ac:dyDescent="0.25">
      <c r="A8" t="s">
        <v>121</v>
      </c>
      <c r="C8" t="s">
        <v>122</v>
      </c>
    </row>
    <row r="9" spans="1:12" x14ac:dyDescent="0.25">
      <c r="A9" t="s">
        <v>123</v>
      </c>
      <c r="C9" t="s">
        <v>124</v>
      </c>
    </row>
    <row r="10" spans="1:12" x14ac:dyDescent="0.25">
      <c r="A10" s="3" t="s">
        <v>88</v>
      </c>
      <c r="C10" t="s">
        <v>95</v>
      </c>
    </row>
    <row r="11" spans="1:12" x14ac:dyDescent="0.25">
      <c r="A11" s="3" t="s">
        <v>125</v>
      </c>
      <c r="C11" t="s">
        <v>126</v>
      </c>
    </row>
    <row r="12" spans="1:12" x14ac:dyDescent="0.25">
      <c r="A12" s="3" t="s">
        <v>127</v>
      </c>
      <c r="C12" t="s">
        <v>128</v>
      </c>
    </row>
    <row r="13" spans="1:12" x14ac:dyDescent="0.25">
      <c r="A13" s="3" t="s">
        <v>129</v>
      </c>
      <c r="C13" t="s">
        <v>130</v>
      </c>
    </row>
    <row r="14" spans="1:12" x14ac:dyDescent="0.25">
      <c r="A14" s="3" t="s">
        <v>131</v>
      </c>
      <c r="C14" t="s">
        <v>132</v>
      </c>
    </row>
    <row r="15" spans="1:12" x14ac:dyDescent="0.25">
      <c r="A15" s="3" t="s">
        <v>90</v>
      </c>
      <c r="C15" t="s">
        <v>96</v>
      </c>
    </row>
    <row r="16" spans="1:12" x14ac:dyDescent="0.25">
      <c r="A16" s="3" t="s">
        <v>92</v>
      </c>
      <c r="C16" t="s">
        <v>98</v>
      </c>
    </row>
    <row r="17" spans="1:3" x14ac:dyDescent="0.25">
      <c r="A17" s="3" t="s">
        <v>133</v>
      </c>
      <c r="C17" t="s">
        <v>134</v>
      </c>
    </row>
    <row r="18" spans="1:3" x14ac:dyDescent="0.25">
      <c r="A18" s="3" t="s">
        <v>141</v>
      </c>
      <c r="C18" t="s">
        <v>52</v>
      </c>
    </row>
    <row r="19" spans="1:3" x14ac:dyDescent="0.25">
      <c r="A19" s="3" t="s">
        <v>142</v>
      </c>
      <c r="C19" t="s">
        <v>76</v>
      </c>
    </row>
    <row r="20" spans="1:3" x14ac:dyDescent="0.25">
      <c r="A20" s="3" t="s">
        <v>108</v>
      </c>
      <c r="C20" t="s">
        <v>51</v>
      </c>
    </row>
    <row r="21" spans="1:3" x14ac:dyDescent="0.25">
      <c r="A21" s="3" t="s">
        <v>94</v>
      </c>
      <c r="C21" t="s">
        <v>100</v>
      </c>
    </row>
    <row r="22" spans="1:3" x14ac:dyDescent="0.25">
      <c r="A22" s="3" t="s">
        <v>93</v>
      </c>
      <c r="C22" t="s">
        <v>99</v>
      </c>
    </row>
    <row r="23" spans="1:3" x14ac:dyDescent="0.25">
      <c r="A23" t="s">
        <v>111</v>
      </c>
      <c r="C23" t="s">
        <v>112</v>
      </c>
    </row>
    <row r="24" spans="1:3" x14ac:dyDescent="0.25">
      <c r="A24" t="s">
        <v>143</v>
      </c>
      <c r="C24" t="s">
        <v>50</v>
      </c>
    </row>
    <row r="25" spans="1:3" x14ac:dyDescent="0.25">
      <c r="A25" t="s">
        <v>144</v>
      </c>
      <c r="C25" t="s">
        <v>145</v>
      </c>
    </row>
    <row r="26" spans="1:3" x14ac:dyDescent="0.25">
      <c r="A26" t="s">
        <v>146</v>
      </c>
      <c r="C26" t="s">
        <v>147</v>
      </c>
    </row>
    <row r="27" spans="1:3" x14ac:dyDescent="0.25">
      <c r="A27" t="s">
        <v>148</v>
      </c>
      <c r="C27" t="s">
        <v>149</v>
      </c>
    </row>
    <row r="28" spans="1:3" x14ac:dyDescent="0.25">
      <c r="A28" t="s">
        <v>139</v>
      </c>
      <c r="C28" t="s">
        <v>140</v>
      </c>
    </row>
    <row r="29" spans="1:3" x14ac:dyDescent="0.25">
      <c r="A29" t="s">
        <v>137</v>
      </c>
      <c r="C29" t="s">
        <v>138</v>
      </c>
    </row>
    <row r="30" spans="1:3" x14ac:dyDescent="0.25">
      <c r="A30" t="s">
        <v>109</v>
      </c>
      <c r="C30" t="s">
        <v>110</v>
      </c>
    </row>
    <row r="31" spans="1:3" x14ac:dyDescent="0.25">
      <c r="A31" t="s">
        <v>135</v>
      </c>
      <c r="C31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3DE9-D4FA-47AC-BF11-BE862F2429E3}">
  <dimension ref="A1:F64"/>
  <sheetViews>
    <sheetView topLeftCell="A37" workbookViewId="0">
      <selection activeCell="E1" sqref="A1:E1"/>
    </sheetView>
  </sheetViews>
  <sheetFormatPr defaultRowHeight="15" x14ac:dyDescent="0.25"/>
  <cols>
    <col min="1" max="1" width="29.42578125" bestFit="1" customWidth="1"/>
    <col min="2" max="2" width="29.28515625" bestFit="1" customWidth="1"/>
    <col min="3" max="4" width="15.28515625" bestFit="1" customWidth="1"/>
    <col min="5" max="5" width="12.140625" bestFit="1" customWidth="1"/>
    <col min="6" max="6" width="16.28515625" bestFit="1" customWidth="1"/>
  </cols>
  <sheetData>
    <row r="1" spans="1:6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</row>
    <row r="2" spans="1:6" x14ac:dyDescent="0.25">
      <c r="A2" t="s">
        <v>88</v>
      </c>
      <c r="B2" t="s">
        <v>86</v>
      </c>
      <c r="C2">
        <v>0.95</v>
      </c>
      <c r="D2">
        <v>5.0000000000000044E-2</v>
      </c>
      <c r="E2">
        <v>585.5</v>
      </c>
      <c r="F2" t="s">
        <v>107</v>
      </c>
    </row>
    <row r="3" spans="1:6" x14ac:dyDescent="0.25">
      <c r="A3" t="s">
        <v>88</v>
      </c>
      <c r="B3" t="s">
        <v>86</v>
      </c>
      <c r="C3">
        <v>0.90400000000000003</v>
      </c>
      <c r="D3">
        <v>9.5999999999999974E-2</v>
      </c>
      <c r="E3">
        <v>520.70000000000005</v>
      </c>
      <c r="F3" t="s">
        <v>107</v>
      </c>
    </row>
    <row r="4" spans="1:6" x14ac:dyDescent="0.25">
      <c r="A4" t="s">
        <v>88</v>
      </c>
      <c r="B4" t="s">
        <v>86</v>
      </c>
      <c r="C4">
        <v>0.85</v>
      </c>
      <c r="D4">
        <v>0.15000000000000002</v>
      </c>
      <c r="E4">
        <v>482</v>
      </c>
      <c r="F4" t="s">
        <v>107</v>
      </c>
    </row>
    <row r="5" spans="1:6" x14ac:dyDescent="0.25">
      <c r="A5" t="s">
        <v>88</v>
      </c>
      <c r="B5" t="s">
        <v>86</v>
      </c>
      <c r="C5">
        <v>0.78700000000000003</v>
      </c>
      <c r="D5">
        <v>0.21299999999999997</v>
      </c>
      <c r="E5">
        <v>436</v>
      </c>
      <c r="F5" t="s">
        <v>107</v>
      </c>
    </row>
    <row r="6" spans="1:6" x14ac:dyDescent="0.25">
      <c r="A6" t="s">
        <v>88</v>
      </c>
      <c r="B6" t="s">
        <v>86</v>
      </c>
      <c r="C6">
        <v>0.72299999999999998</v>
      </c>
      <c r="D6">
        <v>0.27700000000000002</v>
      </c>
      <c r="E6">
        <v>398</v>
      </c>
      <c r="F6" t="s">
        <v>107</v>
      </c>
    </row>
    <row r="7" spans="1:6" x14ac:dyDescent="0.25">
      <c r="A7" t="s">
        <v>88</v>
      </c>
      <c r="B7" t="s">
        <v>86</v>
      </c>
      <c r="C7">
        <v>0.63400000000000001</v>
      </c>
      <c r="D7">
        <v>0.36599999999999999</v>
      </c>
      <c r="E7">
        <v>362.8</v>
      </c>
      <c r="F7" t="s">
        <v>107</v>
      </c>
    </row>
    <row r="8" spans="1:6" x14ac:dyDescent="0.25">
      <c r="A8" t="s">
        <v>88</v>
      </c>
      <c r="B8" t="s">
        <v>86</v>
      </c>
      <c r="C8">
        <v>0.52</v>
      </c>
      <c r="D8">
        <v>0.48</v>
      </c>
      <c r="E8">
        <v>344.8</v>
      </c>
      <c r="F8" t="s">
        <v>107</v>
      </c>
    </row>
    <row r="9" spans="1:6" x14ac:dyDescent="0.25">
      <c r="A9" t="s">
        <v>88</v>
      </c>
      <c r="B9" t="s">
        <v>86</v>
      </c>
      <c r="C9">
        <v>0.40799999999999997</v>
      </c>
      <c r="D9">
        <v>0.59200000000000008</v>
      </c>
      <c r="E9">
        <v>343.7</v>
      </c>
      <c r="F9" t="s">
        <v>107</v>
      </c>
    </row>
    <row r="10" spans="1:6" x14ac:dyDescent="0.25">
      <c r="A10" t="s">
        <v>88</v>
      </c>
      <c r="B10" t="s">
        <v>86</v>
      </c>
      <c r="C10">
        <v>0.24199999999999999</v>
      </c>
      <c r="D10">
        <v>0.75800000000000001</v>
      </c>
      <c r="E10">
        <v>342.4</v>
      </c>
      <c r="F10" t="s">
        <v>107</v>
      </c>
    </row>
    <row r="11" spans="1:6" x14ac:dyDescent="0.25">
      <c r="A11" t="s">
        <v>88</v>
      </c>
      <c r="B11" t="s">
        <v>89</v>
      </c>
      <c r="C11">
        <v>0.94899999999999995</v>
      </c>
      <c r="D11">
        <v>5.1000000000000045E-2</v>
      </c>
      <c r="E11">
        <v>609.70000000000005</v>
      </c>
      <c r="F11" t="s">
        <v>107</v>
      </c>
    </row>
    <row r="12" spans="1:6" x14ac:dyDescent="0.25">
      <c r="A12" t="s">
        <v>88</v>
      </c>
      <c r="B12" t="s">
        <v>89</v>
      </c>
      <c r="C12">
        <v>0.89900000000000002</v>
      </c>
      <c r="D12">
        <v>0.10099999999999998</v>
      </c>
      <c r="E12">
        <v>608.79999999999995</v>
      </c>
      <c r="F12" t="s">
        <v>107</v>
      </c>
    </row>
    <row r="13" spans="1:6" x14ac:dyDescent="0.25">
      <c r="A13" t="s">
        <v>88</v>
      </c>
      <c r="B13" t="s">
        <v>89</v>
      </c>
      <c r="C13">
        <v>0.8</v>
      </c>
      <c r="D13">
        <v>0.19999999999999996</v>
      </c>
      <c r="E13">
        <v>595.70000000000005</v>
      </c>
      <c r="F13" t="s">
        <v>107</v>
      </c>
    </row>
    <row r="14" spans="1:6" x14ac:dyDescent="0.25">
      <c r="A14" t="s">
        <v>88</v>
      </c>
      <c r="B14" t="s">
        <v>89</v>
      </c>
      <c r="C14">
        <v>0.69899999999999995</v>
      </c>
      <c r="D14">
        <v>0.30100000000000005</v>
      </c>
      <c r="E14">
        <v>574.4</v>
      </c>
      <c r="F14" t="s">
        <v>107</v>
      </c>
    </row>
    <row r="15" spans="1:6" x14ac:dyDescent="0.25">
      <c r="A15" t="s">
        <v>88</v>
      </c>
      <c r="B15" t="s">
        <v>89</v>
      </c>
      <c r="C15">
        <v>0.6</v>
      </c>
      <c r="D15">
        <v>0.4</v>
      </c>
      <c r="E15">
        <v>547.9</v>
      </c>
      <c r="F15" t="s">
        <v>107</v>
      </c>
    </row>
    <row r="16" spans="1:6" x14ac:dyDescent="0.25">
      <c r="A16" t="s">
        <v>88</v>
      </c>
      <c r="B16" t="s">
        <v>89</v>
      </c>
      <c r="C16">
        <v>0.501</v>
      </c>
      <c r="D16">
        <v>0.499</v>
      </c>
      <c r="E16">
        <v>517.79999999999995</v>
      </c>
      <c r="F16" t="s">
        <v>107</v>
      </c>
    </row>
    <row r="17" spans="1:6" x14ac:dyDescent="0.25">
      <c r="A17" t="s">
        <v>88</v>
      </c>
      <c r="B17" t="s">
        <v>89</v>
      </c>
      <c r="C17">
        <v>0.40300000000000002</v>
      </c>
      <c r="D17">
        <v>0.59699999999999998</v>
      </c>
      <c r="E17">
        <v>488</v>
      </c>
      <c r="F17" t="s">
        <v>107</v>
      </c>
    </row>
    <row r="18" spans="1:6" x14ac:dyDescent="0.25">
      <c r="A18" t="s">
        <v>88</v>
      </c>
      <c r="B18" t="s">
        <v>89</v>
      </c>
      <c r="C18">
        <v>0.3</v>
      </c>
      <c r="D18">
        <v>0.7</v>
      </c>
      <c r="E18">
        <v>515.9</v>
      </c>
      <c r="F18" t="s">
        <v>107</v>
      </c>
    </row>
    <row r="19" spans="1:6" x14ac:dyDescent="0.25">
      <c r="A19" t="s">
        <v>88</v>
      </c>
      <c r="B19" t="s">
        <v>89</v>
      </c>
      <c r="C19">
        <v>0.2</v>
      </c>
      <c r="D19">
        <v>0.8</v>
      </c>
      <c r="E19">
        <v>538.5</v>
      </c>
      <c r="F19" t="s">
        <v>107</v>
      </c>
    </row>
    <row r="20" spans="1:6" x14ac:dyDescent="0.25">
      <c r="A20" t="s">
        <v>88</v>
      </c>
      <c r="B20" t="s">
        <v>89</v>
      </c>
      <c r="C20">
        <v>0.10100000000000001</v>
      </c>
      <c r="D20">
        <v>0.89900000000000002</v>
      </c>
      <c r="E20">
        <v>554.20000000000005</v>
      </c>
      <c r="F20" t="s">
        <v>107</v>
      </c>
    </row>
    <row r="21" spans="1:6" x14ac:dyDescent="0.25">
      <c r="A21" t="s">
        <v>88</v>
      </c>
      <c r="B21" t="s">
        <v>90</v>
      </c>
      <c r="C21">
        <v>0.94899999999999995</v>
      </c>
      <c r="D21">
        <v>5.1000000000000045E-2</v>
      </c>
      <c r="E21">
        <v>600.9</v>
      </c>
      <c r="F21" t="s">
        <v>107</v>
      </c>
    </row>
    <row r="22" spans="1:6" x14ac:dyDescent="0.25">
      <c r="A22" t="s">
        <v>88</v>
      </c>
      <c r="B22" t="s">
        <v>90</v>
      </c>
      <c r="C22">
        <v>0.9</v>
      </c>
      <c r="D22">
        <v>9.9999999999999978E-2</v>
      </c>
      <c r="E22">
        <v>595</v>
      </c>
      <c r="F22" t="s">
        <v>107</v>
      </c>
    </row>
    <row r="23" spans="1:6" x14ac:dyDescent="0.25">
      <c r="A23" t="s">
        <v>88</v>
      </c>
      <c r="B23" t="s">
        <v>90</v>
      </c>
      <c r="C23">
        <v>0.8</v>
      </c>
      <c r="D23">
        <v>0.19999999999999996</v>
      </c>
      <c r="E23">
        <v>579.6</v>
      </c>
      <c r="F23" t="s">
        <v>107</v>
      </c>
    </row>
    <row r="24" spans="1:6" x14ac:dyDescent="0.25">
      <c r="A24" t="s">
        <v>88</v>
      </c>
      <c r="B24" t="s">
        <v>90</v>
      </c>
      <c r="C24">
        <v>0.69799999999999995</v>
      </c>
      <c r="D24">
        <v>0.30200000000000005</v>
      </c>
      <c r="E24">
        <v>557.9</v>
      </c>
      <c r="F24" t="s">
        <v>107</v>
      </c>
    </row>
    <row r="25" spans="1:6" x14ac:dyDescent="0.25">
      <c r="A25" t="s">
        <v>88</v>
      </c>
      <c r="B25" t="s">
        <v>90</v>
      </c>
      <c r="C25">
        <v>0.59899999999999998</v>
      </c>
      <c r="D25">
        <v>0.40100000000000002</v>
      </c>
      <c r="E25">
        <v>531.1</v>
      </c>
      <c r="F25" t="s">
        <v>107</v>
      </c>
    </row>
    <row r="26" spans="1:6" x14ac:dyDescent="0.25">
      <c r="A26" t="s">
        <v>88</v>
      </c>
      <c r="B26" t="s">
        <v>90</v>
      </c>
      <c r="C26">
        <v>0.501</v>
      </c>
      <c r="D26">
        <v>0.499</v>
      </c>
      <c r="E26">
        <v>508.2</v>
      </c>
      <c r="F26" t="s">
        <v>107</v>
      </c>
    </row>
    <row r="27" spans="1:6" x14ac:dyDescent="0.25">
      <c r="A27" t="s">
        <v>88</v>
      </c>
      <c r="B27" t="s">
        <v>90</v>
      </c>
      <c r="C27">
        <v>0.39900000000000002</v>
      </c>
      <c r="D27">
        <v>0.60099999999999998</v>
      </c>
      <c r="E27">
        <v>488.5</v>
      </c>
      <c r="F27" t="s">
        <v>107</v>
      </c>
    </row>
    <row r="28" spans="1:6" x14ac:dyDescent="0.25">
      <c r="A28" t="s">
        <v>88</v>
      </c>
      <c r="B28" t="s">
        <v>90</v>
      </c>
      <c r="C28">
        <v>0.30099999999999999</v>
      </c>
      <c r="D28">
        <v>0.69900000000000007</v>
      </c>
      <c r="E28">
        <v>496.9</v>
      </c>
      <c r="F28" t="s">
        <v>107</v>
      </c>
    </row>
    <row r="29" spans="1:6" x14ac:dyDescent="0.25">
      <c r="A29" t="s">
        <v>88</v>
      </c>
      <c r="B29" t="s">
        <v>90</v>
      </c>
      <c r="C29">
        <v>0.20100000000000001</v>
      </c>
      <c r="D29">
        <v>0.79899999999999993</v>
      </c>
      <c r="E29">
        <v>515.9</v>
      </c>
      <c r="F29" t="s">
        <v>107</v>
      </c>
    </row>
    <row r="30" spans="1:6" x14ac:dyDescent="0.25">
      <c r="A30" t="s">
        <v>88</v>
      </c>
      <c r="B30" t="s">
        <v>90</v>
      </c>
      <c r="C30">
        <v>0.10299999999999999</v>
      </c>
      <c r="D30">
        <v>0.89700000000000002</v>
      </c>
      <c r="E30">
        <v>527.6</v>
      </c>
      <c r="F30" t="s">
        <v>107</v>
      </c>
    </row>
    <row r="31" spans="1:6" x14ac:dyDescent="0.25">
      <c r="A31" t="s">
        <v>88</v>
      </c>
      <c r="B31" t="s">
        <v>91</v>
      </c>
      <c r="C31">
        <v>0.94599999999999995</v>
      </c>
      <c r="D31">
        <v>5.4000000000000048E-2</v>
      </c>
      <c r="E31">
        <v>601.9</v>
      </c>
      <c r="F31" t="s">
        <v>107</v>
      </c>
    </row>
    <row r="32" spans="1:6" x14ac:dyDescent="0.25">
      <c r="A32" t="s">
        <v>88</v>
      </c>
      <c r="B32" t="s">
        <v>91</v>
      </c>
      <c r="C32">
        <v>0.9</v>
      </c>
      <c r="D32">
        <v>9.9999999999999978E-2</v>
      </c>
      <c r="E32">
        <v>596.4</v>
      </c>
      <c r="F32" t="s">
        <v>107</v>
      </c>
    </row>
    <row r="33" spans="1:6" x14ac:dyDescent="0.25">
      <c r="A33" t="s">
        <v>88</v>
      </c>
      <c r="B33" t="s">
        <v>91</v>
      </c>
      <c r="C33">
        <v>0.80100000000000005</v>
      </c>
      <c r="D33">
        <v>0.19899999999999995</v>
      </c>
      <c r="E33">
        <v>563.1</v>
      </c>
      <c r="F33" t="s">
        <v>107</v>
      </c>
    </row>
    <row r="34" spans="1:6" x14ac:dyDescent="0.25">
      <c r="A34" t="s">
        <v>88</v>
      </c>
      <c r="B34" t="s">
        <v>91</v>
      </c>
      <c r="C34">
        <v>0.69599999999999995</v>
      </c>
      <c r="D34">
        <v>0.30400000000000005</v>
      </c>
      <c r="E34">
        <v>532.29999999999995</v>
      </c>
      <c r="F34" t="s">
        <v>107</v>
      </c>
    </row>
    <row r="35" spans="1:6" x14ac:dyDescent="0.25">
      <c r="A35" t="s">
        <v>88</v>
      </c>
      <c r="B35" t="s">
        <v>91</v>
      </c>
      <c r="C35">
        <v>0.59899999999999998</v>
      </c>
      <c r="D35">
        <v>0.40100000000000002</v>
      </c>
      <c r="E35">
        <v>507.7</v>
      </c>
      <c r="F35" t="s">
        <v>107</v>
      </c>
    </row>
    <row r="36" spans="1:6" x14ac:dyDescent="0.25">
      <c r="A36" t="s">
        <v>88</v>
      </c>
      <c r="B36" t="s">
        <v>91</v>
      </c>
      <c r="C36">
        <v>0.5</v>
      </c>
      <c r="D36">
        <v>0.5</v>
      </c>
      <c r="E36">
        <v>475.7</v>
      </c>
      <c r="F36" t="s">
        <v>107</v>
      </c>
    </row>
    <row r="37" spans="1:6" x14ac:dyDescent="0.25">
      <c r="A37" t="s">
        <v>88</v>
      </c>
      <c r="B37" t="s">
        <v>91</v>
      </c>
      <c r="C37">
        <v>0.4</v>
      </c>
      <c r="D37">
        <v>0.6</v>
      </c>
      <c r="E37">
        <v>447.7</v>
      </c>
      <c r="F37" t="s">
        <v>107</v>
      </c>
    </row>
    <row r="38" spans="1:6" x14ac:dyDescent="0.25">
      <c r="A38" t="s">
        <v>88</v>
      </c>
      <c r="B38" t="s">
        <v>91</v>
      </c>
      <c r="C38">
        <v>0.3</v>
      </c>
      <c r="D38">
        <v>0.7</v>
      </c>
      <c r="E38">
        <v>459</v>
      </c>
      <c r="F38" t="s">
        <v>107</v>
      </c>
    </row>
    <row r="39" spans="1:6" x14ac:dyDescent="0.25">
      <c r="A39" t="s">
        <v>88</v>
      </c>
      <c r="B39" t="s">
        <v>91</v>
      </c>
      <c r="C39">
        <v>0.2</v>
      </c>
      <c r="D39">
        <v>0.8</v>
      </c>
      <c r="E39">
        <v>490.9</v>
      </c>
      <c r="F39" t="s">
        <v>107</v>
      </c>
    </row>
    <row r="40" spans="1:6" x14ac:dyDescent="0.25">
      <c r="A40" t="s">
        <v>88</v>
      </c>
      <c r="B40" t="s">
        <v>91</v>
      </c>
      <c r="C40">
        <v>0.111</v>
      </c>
      <c r="D40">
        <v>0.88900000000000001</v>
      </c>
      <c r="E40">
        <v>512.9</v>
      </c>
      <c r="F40" t="s">
        <v>107</v>
      </c>
    </row>
    <row r="41" spans="1:6" x14ac:dyDescent="0.25">
      <c r="A41" t="s">
        <v>88</v>
      </c>
      <c r="B41" t="s">
        <v>91</v>
      </c>
      <c r="C41">
        <v>6.8000000000000005E-2</v>
      </c>
      <c r="D41">
        <v>0.93199999999999994</v>
      </c>
      <c r="E41">
        <v>520.9</v>
      </c>
      <c r="F41" t="s">
        <v>107</v>
      </c>
    </row>
    <row r="42" spans="1:6" x14ac:dyDescent="0.25">
      <c r="A42" t="s">
        <v>88</v>
      </c>
      <c r="B42" t="s">
        <v>92</v>
      </c>
      <c r="C42">
        <v>0.94899999999999995</v>
      </c>
      <c r="D42">
        <v>5.1000000000000045E-2</v>
      </c>
      <c r="E42">
        <v>603</v>
      </c>
      <c r="F42" t="s">
        <v>107</v>
      </c>
    </row>
    <row r="43" spans="1:6" x14ac:dyDescent="0.25">
      <c r="A43" t="s">
        <v>88</v>
      </c>
      <c r="B43" t="s">
        <v>92</v>
      </c>
      <c r="C43">
        <v>0.89900000000000002</v>
      </c>
      <c r="D43">
        <v>0.10099999999999998</v>
      </c>
      <c r="E43">
        <v>589.20000000000005</v>
      </c>
      <c r="F43" t="s">
        <v>107</v>
      </c>
    </row>
    <row r="44" spans="1:6" x14ac:dyDescent="0.25">
      <c r="A44" t="s">
        <v>88</v>
      </c>
      <c r="B44" t="s">
        <v>92</v>
      </c>
      <c r="C44">
        <v>0.79800000000000004</v>
      </c>
      <c r="D44">
        <v>0.20199999999999996</v>
      </c>
      <c r="E44">
        <v>551.79999999999995</v>
      </c>
      <c r="F44" t="s">
        <v>107</v>
      </c>
    </row>
    <row r="45" spans="1:6" x14ac:dyDescent="0.25">
      <c r="A45" t="s">
        <v>88</v>
      </c>
      <c r="B45" t="s">
        <v>92</v>
      </c>
      <c r="C45">
        <v>0.69899999999999995</v>
      </c>
      <c r="D45">
        <v>0.30100000000000005</v>
      </c>
      <c r="E45">
        <v>515.20000000000005</v>
      </c>
      <c r="F45" t="s">
        <v>107</v>
      </c>
    </row>
    <row r="46" spans="1:6" x14ac:dyDescent="0.25">
      <c r="A46" t="s">
        <v>88</v>
      </c>
      <c r="B46" t="s">
        <v>92</v>
      </c>
      <c r="C46">
        <v>0.6</v>
      </c>
      <c r="D46">
        <v>0.4</v>
      </c>
      <c r="E46">
        <v>465.5</v>
      </c>
      <c r="F46" t="s">
        <v>107</v>
      </c>
    </row>
    <row r="47" spans="1:6" x14ac:dyDescent="0.25">
      <c r="A47" t="s">
        <v>88</v>
      </c>
      <c r="B47" t="s">
        <v>92</v>
      </c>
      <c r="C47">
        <v>0.502</v>
      </c>
      <c r="D47">
        <v>0.498</v>
      </c>
      <c r="E47">
        <v>421.5</v>
      </c>
      <c r="F47" t="s">
        <v>107</v>
      </c>
    </row>
    <row r="48" spans="1:6" x14ac:dyDescent="0.25">
      <c r="A48" t="s">
        <v>88</v>
      </c>
      <c r="B48" t="s">
        <v>92</v>
      </c>
      <c r="C48">
        <v>0.40100000000000002</v>
      </c>
      <c r="D48">
        <v>0.59899999999999998</v>
      </c>
      <c r="E48">
        <v>360.7</v>
      </c>
      <c r="F48" t="s">
        <v>107</v>
      </c>
    </row>
    <row r="49" spans="1:6" x14ac:dyDescent="0.25">
      <c r="A49" t="s">
        <v>88</v>
      </c>
      <c r="B49" t="s">
        <v>92</v>
      </c>
      <c r="C49">
        <v>0.30299999999999999</v>
      </c>
      <c r="D49">
        <v>0.69700000000000006</v>
      </c>
      <c r="E49">
        <v>405.6</v>
      </c>
      <c r="F49" t="s">
        <v>107</v>
      </c>
    </row>
    <row r="50" spans="1:6" x14ac:dyDescent="0.25">
      <c r="A50" t="s">
        <v>88</v>
      </c>
      <c r="B50" t="s">
        <v>92</v>
      </c>
      <c r="C50">
        <v>0.20200000000000001</v>
      </c>
      <c r="D50">
        <v>0.79800000000000004</v>
      </c>
      <c r="E50">
        <v>439.8</v>
      </c>
      <c r="F50" t="s">
        <v>107</v>
      </c>
    </row>
    <row r="51" spans="1:6" x14ac:dyDescent="0.25">
      <c r="A51" t="s">
        <v>88</v>
      </c>
      <c r="B51" t="s">
        <v>92</v>
      </c>
      <c r="C51">
        <v>0.10299999999999999</v>
      </c>
      <c r="D51">
        <v>0.89700000000000002</v>
      </c>
      <c r="E51">
        <v>477.5</v>
      </c>
      <c r="F51" t="s">
        <v>107</v>
      </c>
    </row>
    <row r="52" spans="1:6" x14ac:dyDescent="0.25">
      <c r="A52" t="s">
        <v>88</v>
      </c>
      <c r="B52" t="s">
        <v>92</v>
      </c>
      <c r="C52">
        <v>5.5E-2</v>
      </c>
      <c r="D52">
        <v>0.94499999999999995</v>
      </c>
      <c r="E52">
        <v>489.7</v>
      </c>
      <c r="F52" t="s">
        <v>107</v>
      </c>
    </row>
    <row r="53" spans="1:6" x14ac:dyDescent="0.25">
      <c r="A53" t="s">
        <v>93</v>
      </c>
      <c r="B53" t="s">
        <v>94</v>
      </c>
      <c r="C53">
        <v>0.65700000000000003</v>
      </c>
      <c r="D53">
        <v>0.34299999999999997</v>
      </c>
      <c r="E53">
        <v>873.15</v>
      </c>
      <c r="F53" t="s">
        <v>107</v>
      </c>
    </row>
    <row r="54" spans="1:6" x14ac:dyDescent="0.25">
      <c r="A54" t="s">
        <v>93</v>
      </c>
      <c r="B54" t="s">
        <v>94</v>
      </c>
      <c r="C54">
        <v>0.60499999999999998</v>
      </c>
      <c r="D54">
        <v>0.39500000000000002</v>
      </c>
      <c r="E54">
        <v>825.15</v>
      </c>
      <c r="F54" t="s">
        <v>107</v>
      </c>
    </row>
    <row r="55" spans="1:6" x14ac:dyDescent="0.25">
      <c r="A55" t="s">
        <v>93</v>
      </c>
      <c r="B55" t="s">
        <v>94</v>
      </c>
      <c r="C55">
        <v>0.57399999999999995</v>
      </c>
      <c r="D55">
        <v>0.42600000000000005</v>
      </c>
      <c r="E55">
        <v>800.15</v>
      </c>
      <c r="F55" t="s">
        <v>107</v>
      </c>
    </row>
    <row r="56" spans="1:6" x14ac:dyDescent="0.25">
      <c r="A56" t="s">
        <v>93</v>
      </c>
      <c r="B56" t="s">
        <v>94</v>
      </c>
      <c r="C56">
        <v>0.52200000000000002</v>
      </c>
      <c r="D56">
        <v>0.47799999999999998</v>
      </c>
      <c r="E56">
        <v>750.15</v>
      </c>
      <c r="F56" t="s">
        <v>107</v>
      </c>
    </row>
    <row r="57" spans="1:6" x14ac:dyDescent="0.25">
      <c r="A57" t="s">
        <v>93</v>
      </c>
      <c r="B57" t="s">
        <v>94</v>
      </c>
      <c r="C57">
        <v>0.442</v>
      </c>
      <c r="D57">
        <v>0.55800000000000005</v>
      </c>
      <c r="E57">
        <v>658.15</v>
      </c>
      <c r="F57" t="s">
        <v>107</v>
      </c>
    </row>
    <row r="58" spans="1:6" x14ac:dyDescent="0.25">
      <c r="A58" t="s">
        <v>93</v>
      </c>
      <c r="B58" t="s">
        <v>94</v>
      </c>
      <c r="C58">
        <v>0.42699999999999999</v>
      </c>
      <c r="D58">
        <v>0.57299999999999995</v>
      </c>
      <c r="E58">
        <v>640.15</v>
      </c>
      <c r="F58" t="s">
        <v>107</v>
      </c>
    </row>
    <row r="59" spans="1:6" x14ac:dyDescent="0.25">
      <c r="A59" t="s">
        <v>93</v>
      </c>
      <c r="B59" t="s">
        <v>94</v>
      </c>
      <c r="C59">
        <v>0.42299999999999999</v>
      </c>
      <c r="D59">
        <v>0.57699999999999996</v>
      </c>
      <c r="E59">
        <v>636.15</v>
      </c>
      <c r="F59" t="s">
        <v>107</v>
      </c>
    </row>
    <row r="60" spans="1:6" x14ac:dyDescent="0.25">
      <c r="A60" t="s">
        <v>93</v>
      </c>
      <c r="B60" t="s">
        <v>94</v>
      </c>
      <c r="C60">
        <v>0.41499999999999998</v>
      </c>
      <c r="D60">
        <v>0.58499999999999996</v>
      </c>
      <c r="E60">
        <v>634.15</v>
      </c>
      <c r="F60" t="s">
        <v>107</v>
      </c>
    </row>
    <row r="61" spans="1:6" x14ac:dyDescent="0.25">
      <c r="A61" t="s">
        <v>93</v>
      </c>
      <c r="B61" t="s">
        <v>94</v>
      </c>
      <c r="C61">
        <v>0.41299999999999998</v>
      </c>
      <c r="D61">
        <v>0.58699999999999997</v>
      </c>
      <c r="E61">
        <v>635.15</v>
      </c>
      <c r="F61" t="s">
        <v>107</v>
      </c>
    </row>
    <row r="62" spans="1:6" x14ac:dyDescent="0.25">
      <c r="A62" t="s">
        <v>93</v>
      </c>
      <c r="B62" t="s">
        <v>94</v>
      </c>
      <c r="C62">
        <v>0.40600000000000003</v>
      </c>
      <c r="D62">
        <v>0.59399999999999997</v>
      </c>
      <c r="E62">
        <v>645.15</v>
      </c>
      <c r="F62" t="s">
        <v>107</v>
      </c>
    </row>
    <row r="63" spans="1:6" x14ac:dyDescent="0.25">
      <c r="A63" t="s">
        <v>93</v>
      </c>
      <c r="B63" t="s">
        <v>94</v>
      </c>
      <c r="C63">
        <v>0.38700000000000001</v>
      </c>
      <c r="D63">
        <v>0.61299999999999999</v>
      </c>
      <c r="E63">
        <v>661.15</v>
      </c>
      <c r="F63" t="s">
        <v>107</v>
      </c>
    </row>
    <row r="64" spans="1:6" x14ac:dyDescent="0.25">
      <c r="A64" t="s">
        <v>93</v>
      </c>
      <c r="B64" t="s">
        <v>94</v>
      </c>
      <c r="C64">
        <v>0.35599999999999998</v>
      </c>
      <c r="D64">
        <v>0.64400000000000002</v>
      </c>
      <c r="E64">
        <v>685.15</v>
      </c>
      <c r="F6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Unfinished CATALOG</vt:lpstr>
      <vt:lpstr>Pure Input</vt:lpstr>
      <vt:lpstr>Binary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 Glotov</dc:creator>
  <cp:lastModifiedBy>Alexander J Glotov</cp:lastModifiedBy>
  <dcterms:created xsi:type="dcterms:W3CDTF">2026-07-02T18:49:05Z</dcterms:created>
  <dcterms:modified xsi:type="dcterms:W3CDTF">2026-09-27T17:29:02Z</dcterms:modified>
</cp:coreProperties>
</file>