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91857889-0EA8-4489-B573-EC8153478EF9}" xr6:coauthVersionLast="47" xr6:coauthVersionMax="47" xr10:uidLastSave="{00000000-0000-0000-0000-000000000000}"/>
  <bookViews>
    <workbookView xWindow="-120" yWindow="-120" windowWidth="29040" windowHeight="15840" xr2:uid="{22E7D031-F429-4E0A-8A8B-4D129F5BB641}"/>
  </bookViews>
  <sheets>
    <sheet name="Unfinished CATALOG" sheetId="1" r:id="rId1"/>
    <sheet name="Input" sheetId="2" r:id="rId2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D6" i="2"/>
  <c r="D2" i="2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https://webbook.nist.gov/cgi/cbook.cgi?ID=C1643192&amp;Mask=1EFF#Thermo-Gas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5501DECC-CA51-4608-A2A9-124DF8574F9C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2" authorId="0" shapeId="0" xr:uid="{366F9C8A-C349-48E6-8883-C6E40BE5B81F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2" authorId="0" shapeId="0" xr:uid="{F3DAE571-D049-4F99-B2BB-AD33D024F8C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3" authorId="0" shapeId="0" xr:uid="{FC2E5BC0-6FB5-46E6-A96C-B5A571D6D42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3" authorId="0" shapeId="0" xr:uid="{97513E38-6E68-43E5-A94C-6F8C909B7BC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3" authorId="0" shapeId="0" xr:uid="{1DBE5D3C-786F-4099-B286-532040D0D3A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4" authorId="0" shapeId="0" xr:uid="{E40BDC6B-934E-411C-B492-C5CD43E5E92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E4" authorId="0" shapeId="0" xr:uid="{9BE4DF8B-2AFF-4A6C-9B30-43F0C8BC4258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Hilgeman, Mouroux, Mok, Holan</t>
        </r>
      </text>
    </comment>
    <comment ref="F4" authorId="0" shapeId="0" xr:uid="{22C3A041-08B4-4358-8FFC-0CCF2BF6856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5" authorId="0" shapeId="0" xr:uid="{9B46E2A3-89E8-410D-9F36-E3CC4EDF12E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5" authorId="0" shapeId="0" xr:uid="{7AFC09FE-6D63-4AB4-9F34-8C6E6346C5F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5" authorId="0" shapeId="0" xr:uid="{19F57934-8119-42AF-9A95-961B9A76783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6" authorId="0" shapeId="0" xr:uid="{A44F0865-2292-4150-8EDA-994F95E330D4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E6" authorId="0" shapeId="0" xr:uid="{22EA6CA3-1836-4119-B6E7-99ADB8AE94F6}">
      <text>
        <r>
          <rPr>
            <b/>
            <sz val="9"/>
            <color indexed="81"/>
            <rFont val="Tahoma"/>
            <charset val="1"/>
          </rPr>
          <t>Alexander Glotov:</t>
        </r>
        <r>
          <rPr>
            <sz val="9"/>
            <color indexed="81"/>
            <rFont val="Tahoma"/>
            <charset val="1"/>
          </rPr>
          <t xml:space="preserve">
Ashlee</t>
        </r>
      </text>
    </comment>
    <comment ref="F6" authorId="0" shapeId="0" xr:uid="{7A8F76C3-1C0D-4DE3-9D30-F2E27379947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</commentList>
</comments>
</file>

<file path=xl/sharedStrings.xml><?xml version="1.0" encoding="utf-8"?>
<sst xmlns="http://schemas.openxmlformats.org/spreadsheetml/2006/main" count="97" uniqueCount="77">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</sst>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abSelected="1" workbookViewId="0">
      <selection activeCell="A28" sqref="A28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F6"/>
  <sheetViews>
    <sheetView workbookViewId="0">
      <selection activeCell="A7" sqref="A7:XFD7"/>
    </sheetView>
  </sheetViews>
  <sheetFormatPr defaultRowHeight="15" x14ac:dyDescent="0.25"/>
  <cols>
    <col min="1" max="1" width="19.28515625" bestFit="1" customWidth="1"/>
    <col min="2" max="2" width="8.28515625" bestFit="1" customWidth="1"/>
    <col min="3" max="3" width="8.8554687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11</v>
      </c>
      <c r="B2" t="s">
        <v>12</v>
      </c>
      <c r="C2" t="s">
        <v>18</v>
      </c>
      <c r="D2">
        <f>79+273.15</f>
        <v>352.15</v>
      </c>
      <c r="E2">
        <v>7730</v>
      </c>
      <c r="F2">
        <v>-315890</v>
      </c>
    </row>
    <row r="3" spans="1:6" x14ac:dyDescent="0.25">
      <c r="A3" s="3" t="s">
        <v>17</v>
      </c>
      <c r="C3" t="s">
        <v>19</v>
      </c>
      <c r="D3">
        <v>284.2</v>
      </c>
      <c r="E3">
        <v>21830</v>
      </c>
      <c r="F3">
        <v>-63010</v>
      </c>
    </row>
    <row r="4" spans="1:6" x14ac:dyDescent="0.25">
      <c r="A4" s="3" t="s">
        <v>13</v>
      </c>
      <c r="C4" t="s">
        <v>20</v>
      </c>
      <c r="D4">
        <v>363.7</v>
      </c>
      <c r="E4">
        <v>12500</v>
      </c>
      <c r="F4">
        <v>49800</v>
      </c>
    </row>
    <row r="5" spans="1:6" x14ac:dyDescent="0.25">
      <c r="A5" s="3" t="s">
        <v>8</v>
      </c>
      <c r="C5" t="s">
        <v>10</v>
      </c>
      <c r="D5">
        <v>283.45999999999998</v>
      </c>
      <c r="E5">
        <v>13800</v>
      </c>
      <c r="F5">
        <v>-507500</v>
      </c>
    </row>
    <row r="6" spans="1:6" x14ac:dyDescent="0.25">
      <c r="A6" s="3" t="s">
        <v>6</v>
      </c>
      <c r="B6" t="s">
        <v>7</v>
      </c>
      <c r="C6" t="s">
        <v>9</v>
      </c>
      <c r="D6">
        <f>133+273.15</f>
        <v>406.15</v>
      </c>
      <c r="E6">
        <v>10340</v>
      </c>
      <c r="F6">
        <v>-333330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Unfinished CATALOG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2026-09-09T14:14:41Z</dcterms:modified>
</cp:coreProperties>
</file>