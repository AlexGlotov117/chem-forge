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aglotov\Eutectics\data\input\"/>
    </mc:Choice>
  </mc:AlternateContent>
  <xr:revisionPtr revIDLastSave="0" documentId="13_ncr:1_{43FDFD30-85F6-41FB-BCFA-43AB1E01FA2D}" xr6:coauthVersionLast="47" xr6:coauthVersionMax="47" xr10:uidLastSave="{00000000-0000-0000-0000-000000000000}"/>
  <bookViews>
    <workbookView xWindow="-120" yWindow="-120" windowWidth="29040" windowHeight="15840" activeTab="1" xr2:uid="{22E7D031-F429-4E0A-8A8B-4D129F5BB641}"/>
  </bookViews>
  <sheets>
    <sheet name="Unfinished CATALOG" sheetId="1" r:id="rId1"/>
    <sheet name="Input" sheetId="2" r:id="rId2"/>
  </sheets>
  <definedNames>
    <definedName name="_xlnm._FilterDatabase" localSheetId="0" hidden="1">'Unfinished CATALOG'!$A$1:$F$1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4" i="1" l="1"/>
  <c r="D24" i="1"/>
  <c r="E23" i="1"/>
  <c r="E22" i="1"/>
  <c r="D22" i="1"/>
  <c r="E11" i="1"/>
  <c r="D11" i="1"/>
  <c r="F10" i="1"/>
  <c r="E10" i="1"/>
  <c r="D10" i="1"/>
  <c r="F7" i="1"/>
  <c r="E7" i="1"/>
  <c r="D7" i="1"/>
  <c r="D14" i="1"/>
  <c r="D29" i="1"/>
  <c r="E2" i="1"/>
  <c r="D3" i="1"/>
  <c r="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Glotov</author>
  </authors>
  <commentList>
    <comment ref="D2" authorId="0" shapeId="0" xr:uid="{B7D4224E-A493-447D-84BA-7DDEFFF3C9D8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https://pubchem.ncbi.nlm.nih.gov/compound/Water#section=Melting-Point</t>
        </r>
      </text>
    </comment>
    <comment ref="E2" authorId="0" shapeId="0" xr:uid="{5995BC99-B557-4A15-B6FB-81F561DA6AD0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https://www.engineeringtoolbox.com/water-thermal-properties-d_162.html</t>
        </r>
      </text>
    </comment>
    <comment ref="F2" authorId="0" shapeId="0" xr:uid="{783F21FA-4AD3-468F-B910-64A10EB1842D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1)https://atct.anl.gov/Thermochemical%20Data/version%201.220/species/?species_number=24</t>
        </r>
      </text>
    </comment>
    <comment ref="D3" authorId="0" shapeId="0" xr:uid="{2C99D34F-09BE-451B-8192-07DB24810E50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E3" authorId="0" shapeId="0" xr:uid="{36D0DEA9-FF41-4A3D-B02A-6E857248818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F3" authorId="0" shapeId="0" xr:uid="{380BD958-450B-4177-80CD-D9786D489AA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1)https://atct.anl.gov/Thermochemical%20Data/version%201.220/species/?species_number=1912</t>
        </r>
      </text>
    </comment>
    <comment ref="D4" authorId="0" shapeId="0" xr:uid="{49F68355-A445-4BAF-90F2-E3C2E9145A4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E4" authorId="0" shapeId="0" xr:uid="{ADF150B1-E417-45FE-81D2-E8DAE9F836DF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F4" authorId="0" shapeId="0" xr:uid="{E5BF108A-0EA7-4AC6-92BA-13EC6989AEC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1)https://atct.anl.gov/Thermochemical%20Data/version%201.220/species/?species_number=1907</t>
        </r>
      </text>
    </comment>
    <comment ref="D5" authorId="0" shapeId="0" xr:uid="{787C61F0-F01E-4D84-8CAA-AAF894740532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Hilgeman, Mouroux, Mok, Holan</t>
        </r>
      </text>
    </comment>
    <comment ref="E5" authorId="0" shapeId="0" xr:uid="{B609F4F6-1D6F-4E43-899A-039D6BA4839B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Hilgeman, Mouroux, Mok, Holan</t>
        </r>
      </text>
    </comment>
    <comment ref="F5" authorId="0" shapeId="0" xr:uid="{4457B27D-9D44-49EE-9499-EE2A8F5DB1F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1)https://webbook.nist.gov/cgi/cbook.cgi?ID=C288324&amp;Units=SI&amp;Mask=2#Thermo-Condensed</t>
        </r>
      </text>
    </comment>
    <comment ref="D6" authorId="0" shapeId="0" xr:uid="{4248127E-F186-424E-9304-4093375A6B0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1)https://webbook.nist.gov/cgi/cbook.cgi?ID=C141435&amp;Units=SI&amp;Mask=4#Thermo-Phase</t>
        </r>
      </text>
    </comment>
    <comment ref="E6" authorId="0" shapeId="0" xr:uid="{AEBB7345-F0F7-4DD9-B32E-D9F056EBEF4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1)https://www.sciencedirect.com/science/article/pii/S1750583613004258</t>
        </r>
      </text>
    </comment>
    <comment ref="F6" authorId="0" shapeId="0" xr:uid="{5106F13A-279A-4601-92D6-B2E92F9DD06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1)https://webbook.nist.gov/cgi/cbook.cgi?ID=C141435&amp;Units=SI&amp;Mask=2#Thermo-Condensed</t>
        </r>
      </text>
    </comment>
    <comment ref="D7" authorId="0" shapeId="0" xr:uid="{2CF6CDD1-F5E1-43E8-A19E-28BAAD5C627C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https://webbook.nist.gov/cgi/cbook.cgi?ID=C56815&amp;Units=SI&amp;Mask=4#Thermo-Phase</t>
        </r>
      </text>
    </comment>
    <comment ref="E7" authorId="0" shapeId="0" xr:uid="{67560CD9-4B42-4009-8FEE-B7B0E0D24E47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https://webbook.nist.gov/cgi/cbook.cgi?ID=C56815&amp;Units=SI&amp;Mask=4#Thermo-Phase</t>
        </r>
      </text>
    </comment>
    <comment ref="F7" authorId="0" shapeId="0" xr:uid="{5E82BDD6-5DA8-4D10-AA85-ECD6AB017319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https://webbook.nist.gov/cgi/cbook.cgi?ID=C56815&amp;Units=SI&amp;Mask=2#Thermo-Condensed</t>
        </r>
      </text>
    </comment>
    <comment ref="D8" authorId="0" shapeId="0" xr:uid="{471E01A8-C311-4AC7-AEC5-5D6B6CAAD97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E8" authorId="0" shapeId="0" xr:uid="{CBC558AB-017C-4385-AA76-E249D19B2033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F8" authorId="0" shapeId="0" xr:uid="{AB8D56E7-0CD8-4253-A680-DB2E9B7966F8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D10" authorId="0" shapeId="0" xr:uid="{1E1D85AE-73C9-4EE5-9B10-D99F6D60BD07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https://webbook.nist.gov/cgi/cbook.cgi?ID=C111966&amp;Mask=4#Thermo-Phase</t>
        </r>
      </text>
    </comment>
    <comment ref="E10" authorId="0" shapeId="0" xr:uid="{EB6033F4-CA7E-49DB-BB17-C34560971AF5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https://webbook.nist.gov/cgi/cbook.cgi?ID=C111966&amp;Mask=4#Thermo-Phase</t>
        </r>
      </text>
    </comment>
    <comment ref="F10" authorId="0" shapeId="0" xr:uid="{525F711F-3C09-481A-85BF-92F18353722F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https://webbook.nist.gov/cgi/cbook.cgi?ID=C111966&amp;Mask=2#Thermo-Condensed</t>
        </r>
      </text>
    </comment>
    <comment ref="D11" authorId="0" shapeId="0" xr:uid="{E3FE7A1B-338F-492F-A6BF-400F515D6E34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1)https://webbook.nist.gov/cgi/cbook.cgi?ID=C112492&amp;Units=SI&amp;Mask=4#Thermo-Phase</t>
        </r>
      </text>
    </comment>
    <comment ref="E11" authorId="0" shapeId="0" xr:uid="{65CE4E3C-BF7D-46D6-8CA4-96B3A0D09621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1)https://webbook.nist.gov/cgi/cbook.cgi?ID=C112492&amp;Units=SI&amp;Mask=4#Thermo-Phase</t>
        </r>
      </text>
    </comment>
    <comment ref="D14" authorId="0" shapeId="0" xr:uid="{B68F36C1-4BA4-48F1-99E3-8AD353A1321A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1)https://advanced.onlinelibrary.wiley.com/doi/10.1002/adma.202502566</t>
        </r>
      </text>
    </comment>
    <comment ref="F14" authorId="0" shapeId="0" xr:uid="{BADEE219-B2DB-4696-8CD3-185AC97E6E32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1)https://www.sciencedirect.com/science/article/abs/pii/S0040603115003354
2)https://www.sciencedirect.com/science/article/pii/S0016236125036129</t>
        </r>
      </text>
    </comment>
    <comment ref="F22" authorId="0" shapeId="0" xr:uid="{E1A1E0C1-3AE1-4CDA-A225-D95E0807710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1)https://matweb.com/search/datasheet.aspx?MatGUID=3118b2052ace4835a6d73687613def66&amp;ckck=1</t>
        </r>
      </text>
    </comment>
    <comment ref="D24" authorId="0" shapeId="0" xr:uid="{77977B3A-77FD-4B3F-B5BC-D929DC7D529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1)https://iris.unito.it/bitstream/2318/1995351/2/Dematteis%20-%20PhD%20Thesis%20-%20DEF_REFEREE.pdf</t>
        </r>
      </text>
    </comment>
    <comment ref="E24" authorId="0" shapeId="0" xr:uid="{569CA5D4-C30C-423C-827D-117707B91194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1)https://iris.unito.it/bitstream/2318/1995351/2/Dematteis%20-%20PhD%20Thesis%20-%20DEF_REFEREE.pdf</t>
        </r>
      </text>
    </comment>
    <comment ref="D29" authorId="0" shapeId="0" xr:uid="{74CA7090-F16F-4E81-9C1D-4C76B0CA001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1)https://advanced.onlinelibrary.wiley.com/doi/10.1002/adma.202502566</t>
        </r>
      </text>
    </comment>
    <comment ref="D34" authorId="0" shapeId="0" xr:uid="{D4CAD80C-B7CB-420F-8676-3A2ADB9B10C7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https://webbook.nist.gov/cgi/cbook.cgi?ID=C1643192&amp;Mask=1EFF#Thermo-Gas</t>
        </r>
      </text>
    </comment>
    <comment ref="E34" authorId="0" shapeId="0" xr:uid="{5850F739-EC51-4500-92CB-C367CCC5DCEE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https://webbook.nist.gov/cgi/cbook.cgi?ID=C1643192&amp;Mask=1EFF#Thermo-Gas</t>
        </r>
      </text>
    </comment>
  </commentList>
</comments>
</file>

<file path=xl/sharedStrings.xml><?xml version="1.0" encoding="utf-8"?>
<sst xmlns="http://schemas.openxmlformats.org/spreadsheetml/2006/main" count="97" uniqueCount="90">
  <si>
    <t>Full Name</t>
  </si>
  <si>
    <t>Symbol</t>
  </si>
  <si>
    <t>SMILES</t>
  </si>
  <si>
    <t>Melting Temp
[K]</t>
  </si>
  <si>
    <t>Heat of Fusion
[J/mol]</t>
  </si>
  <si>
    <t>Standard Heat of Formation
[J/mol]</t>
  </si>
  <si>
    <t>Urea</t>
  </si>
  <si>
    <t>CH4N2O</t>
  </si>
  <si>
    <t>Monoethanolamine</t>
  </si>
  <si>
    <t>NC(N)=O</t>
  </si>
  <si>
    <t>NCCO</t>
  </si>
  <si>
    <t>Acetamide</t>
  </si>
  <si>
    <t>C2H5NO</t>
  </si>
  <si>
    <t>Imidazole</t>
  </si>
  <si>
    <t>Water</t>
  </si>
  <si>
    <t>H2O</t>
  </si>
  <si>
    <t>O</t>
  </si>
  <si>
    <t>Ethylenediamine</t>
  </si>
  <si>
    <t>CC(N)=O</t>
  </si>
  <si>
    <t>NCCN</t>
  </si>
  <si>
    <t>c1c[nH]cn1</t>
  </si>
  <si>
    <t>Tetrabutylammonium Borohydride</t>
  </si>
  <si>
    <t>Ammonia Borane</t>
  </si>
  <si>
    <t>[BH3-][NH3+]</t>
  </si>
  <si>
    <t>Lithium Borohydride</t>
  </si>
  <si>
    <t>Sodium Borohydride</t>
  </si>
  <si>
    <t>Glycerol</t>
  </si>
  <si>
    <t>C3H8O3</t>
  </si>
  <si>
    <t>Diglyme</t>
  </si>
  <si>
    <t>C6H14O3</t>
  </si>
  <si>
    <t>Tetraethylammonium Borohydride</t>
  </si>
  <si>
    <t>CC[N+](CC)(CC)CC.[BH4-]</t>
  </si>
  <si>
    <t>Trigylme</t>
  </si>
  <si>
    <t>Tetraglyme</t>
  </si>
  <si>
    <t>Tetrapropylammonium Borohydride</t>
  </si>
  <si>
    <t>Tetramethylammonium Borohydride</t>
  </si>
  <si>
    <t>Methylamine Borane</t>
  </si>
  <si>
    <t>Butylamine Borane</t>
  </si>
  <si>
    <t>Ethylamine Borane</t>
  </si>
  <si>
    <t>Propylamine Borane</t>
  </si>
  <si>
    <t>Trimethylbutylammonium borohydride</t>
  </si>
  <si>
    <t>Tetrabutylphosphonium borohydride</t>
  </si>
  <si>
    <t>Dimethylamine Borane</t>
  </si>
  <si>
    <t>Trimethylamine Borane</t>
  </si>
  <si>
    <t>[B-][NH2+]C</t>
  </si>
  <si>
    <t>[B][N+](C)(C)C</t>
  </si>
  <si>
    <t>[BH3-][NH2+]CCC</t>
  </si>
  <si>
    <t>---</t>
  </si>
  <si>
    <t>CNC.[B]</t>
  </si>
  <si>
    <t>CCN.[B]</t>
  </si>
  <si>
    <t>CCCCN.[B]</t>
  </si>
  <si>
    <t>[BH4-].[Li+]</t>
  </si>
  <si>
    <t>[BH4-].[Na+]</t>
  </si>
  <si>
    <t>C[N+](C)(C)C.[BH4-]</t>
  </si>
  <si>
    <t>CCCC[N+](CCCC)(CCCC)CCCC.[BH4-]</t>
  </si>
  <si>
    <t>COCCOCCOC</t>
  </si>
  <si>
    <t>COCCOCCOCCOC</t>
  </si>
  <si>
    <t>COCCOCCOCCOCCOC</t>
  </si>
  <si>
    <t>Thiourea</t>
  </si>
  <si>
    <t>Thioacetamide</t>
  </si>
  <si>
    <t>Thiobenzamide</t>
  </si>
  <si>
    <t>Thioisonicotinamide</t>
  </si>
  <si>
    <t>Pyrrole-2-thiocarboxamide</t>
  </si>
  <si>
    <t>Pyridine-2-thiocarboxamide</t>
  </si>
  <si>
    <t>Cyclopropanethiocarboxamide</t>
  </si>
  <si>
    <t>C(=S)(N)N</t>
  </si>
  <si>
    <t>CC(=S)N</t>
  </si>
  <si>
    <t>C1=CC=C(C=C1)C(=S)N</t>
  </si>
  <si>
    <t>Thioisobutyramide</t>
  </si>
  <si>
    <t>C1=CN=CC=C1C(=S)N</t>
  </si>
  <si>
    <t>CC(C)C(=S)N</t>
  </si>
  <si>
    <t>C1=CNC(=C1)C(=S)N</t>
  </si>
  <si>
    <t>C1=CC=NC(=C1)C(=S)N</t>
  </si>
  <si>
    <t>C1CC1C(=S)N</t>
  </si>
  <si>
    <t>Tetra-N-butylammonium bromide</t>
  </si>
  <si>
    <t>Potassium Borohydride</t>
  </si>
  <si>
    <t>[BH4-].[K+]</t>
  </si>
  <si>
    <t>Melting Temperature STDEV [K]</t>
  </si>
  <si>
    <t>Melting Temperature Count</t>
  </si>
  <si>
    <t>Enthalpy of Fusion [kJ/mol]</t>
  </si>
  <si>
    <t>Enthalpy of Fusion STDEV [kJ/mol]</t>
  </si>
  <si>
    <t>Enthalpy of Fusion Count</t>
  </si>
  <si>
    <t>Enthalpy of Formation STDEV [kJ/mol]</t>
  </si>
  <si>
    <t>Enthalpy of Formation Count</t>
  </si>
  <si>
    <t>tetrabutylammonium borohydride</t>
  </si>
  <si>
    <t>Melting Temperature [K]</t>
  </si>
  <si>
    <t>Enthalpy of Formation [kJ/mol]</t>
  </si>
  <si>
    <t>tetrabutylammonium chloride</t>
  </si>
  <si>
    <t>CCCC[N+](CCCC)(CCCC)CCCC.[Cl-]</t>
  </si>
  <si>
    <t>ammonia borane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</si>
</sst>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2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9CF41-2FA5-4790-AC55-DE65A2BCB50A}">
  <dimension ref="A1:F43"/>
  <sheetViews>
    <sheetView topLeftCell="A3" workbookViewId="0">
      <selection activeCell="C14" sqref="A14:C14"/>
    </sheetView>
  </sheetViews>
  <sheetFormatPr defaultRowHeight="15" x14ac:dyDescent="0.25"/>
  <cols>
    <col min="1" max="1" width="37.28515625" bestFit="1" customWidth="1"/>
    <col min="2" max="2" width="8.28515625" bestFit="1" customWidth="1"/>
    <col min="3" max="3" width="32.28515625" bestFit="1" customWidth="1"/>
    <col min="4" max="4" width="12.7109375" bestFit="1" customWidth="1"/>
    <col min="5" max="5" width="13.7109375" bestFit="1" customWidth="1"/>
    <col min="6" max="6" width="25.7109375" bestFit="1" customWidth="1"/>
  </cols>
  <sheetData>
    <row r="1" spans="1:6" ht="30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s="3" t="s">
        <v>14</v>
      </c>
      <c r="B2" t="s">
        <v>15</v>
      </c>
      <c r="C2" t="s">
        <v>16</v>
      </c>
      <c r="D2">
        <v>273.14999999999998</v>
      </c>
      <c r="E2">
        <f>334000*(0.018)</f>
        <v>6012</v>
      </c>
      <c r="F2">
        <v>-285802</v>
      </c>
    </row>
    <row r="3" spans="1:6" x14ac:dyDescent="0.25">
      <c r="A3" s="3" t="s">
        <v>11</v>
      </c>
      <c r="B3" t="s">
        <v>12</v>
      </c>
      <c r="C3" t="s">
        <v>18</v>
      </c>
      <c r="D3">
        <f>79+273.15</f>
        <v>352.15</v>
      </c>
      <c r="E3">
        <v>7730</v>
      </c>
      <c r="F3">
        <v>-315890</v>
      </c>
    </row>
    <row r="4" spans="1:6" x14ac:dyDescent="0.25">
      <c r="A4" s="3" t="s">
        <v>6</v>
      </c>
      <c r="B4" t="s">
        <v>7</v>
      </c>
      <c r="C4" t="s">
        <v>9</v>
      </c>
      <c r="D4">
        <f>133+273.15</f>
        <v>406.15</v>
      </c>
      <c r="E4">
        <v>10340</v>
      </c>
      <c r="F4">
        <v>-333330</v>
      </c>
    </row>
    <row r="5" spans="1:6" x14ac:dyDescent="0.25">
      <c r="A5" s="3" t="s">
        <v>13</v>
      </c>
      <c r="C5" t="s">
        <v>20</v>
      </c>
      <c r="D5">
        <v>363.7</v>
      </c>
      <c r="E5">
        <v>12500</v>
      </c>
      <c r="F5">
        <v>49800</v>
      </c>
    </row>
    <row r="6" spans="1:6" x14ac:dyDescent="0.25">
      <c r="A6" s="3" t="s">
        <v>8</v>
      </c>
      <c r="C6" t="s">
        <v>10</v>
      </c>
      <c r="D6">
        <v>283.45999999999998</v>
      </c>
      <c r="E6">
        <v>13800</v>
      </c>
      <c r="F6">
        <v>-507500</v>
      </c>
    </row>
    <row r="7" spans="1:6" x14ac:dyDescent="0.25">
      <c r="A7" s="3" t="s">
        <v>26</v>
      </c>
      <c r="B7" t="s">
        <v>27</v>
      </c>
      <c r="D7" s="4">
        <f>(292+291+293+291.75)/4</f>
        <v>291.9375</v>
      </c>
      <c r="E7">
        <f>(18.303+18.285+18.28+18.476)/4*1000</f>
        <v>18336</v>
      </c>
      <c r="F7">
        <f>(-669.6-668.6)/2</f>
        <v>-669.1</v>
      </c>
    </row>
    <row r="8" spans="1:6" x14ac:dyDescent="0.25">
      <c r="A8" s="3" t="s">
        <v>17</v>
      </c>
      <c r="C8" t="s">
        <v>19</v>
      </c>
      <c r="D8">
        <v>284.2</v>
      </c>
      <c r="E8">
        <v>21830</v>
      </c>
      <c r="F8">
        <v>-63010</v>
      </c>
    </row>
    <row r="10" spans="1:6" x14ac:dyDescent="0.25">
      <c r="A10" s="3" t="s">
        <v>28</v>
      </c>
      <c r="B10" t="s">
        <v>29</v>
      </c>
      <c r="C10" t="s">
        <v>55</v>
      </c>
      <c r="D10">
        <f>(209.1+209.15)/2</f>
        <v>209.125</v>
      </c>
      <c r="E10">
        <f>(17.78+17.795)/2*1000</f>
        <v>17787.5</v>
      </c>
      <c r="F10">
        <f>(-556.4-569.4)/2*1000</f>
        <v>-562900</v>
      </c>
    </row>
    <row r="11" spans="1:6" x14ac:dyDescent="0.25">
      <c r="A11" s="3" t="s">
        <v>32</v>
      </c>
      <c r="C11" t="s">
        <v>56</v>
      </c>
      <c r="D11">
        <f>AVERAGE(228.15,228)</f>
        <v>228.07499999999999</v>
      </c>
      <c r="E11">
        <f>AVERAGE(23.71,23.715)*1000</f>
        <v>23712.5</v>
      </c>
      <c r="F11">
        <v>-687000</v>
      </c>
    </row>
    <row r="12" spans="1:6" x14ac:dyDescent="0.25">
      <c r="A12" s="3" t="s">
        <v>33</v>
      </c>
      <c r="C12" t="s">
        <v>57</v>
      </c>
      <c r="D12">
        <v>243.45</v>
      </c>
      <c r="E12">
        <v>29300</v>
      </c>
      <c r="F12">
        <v>-814000</v>
      </c>
    </row>
    <row r="13" spans="1:6" x14ac:dyDescent="0.25">
      <c r="A13" s="3"/>
    </row>
    <row r="14" spans="1:6" x14ac:dyDescent="0.25">
      <c r="A14" s="3" t="s">
        <v>22</v>
      </c>
      <c r="C14" t="s">
        <v>23</v>
      </c>
      <c r="D14">
        <f>273.15+108</f>
        <v>381.15</v>
      </c>
      <c r="E14">
        <v>14600</v>
      </c>
      <c r="F14">
        <v>-133400</v>
      </c>
    </row>
    <row r="15" spans="1:6" x14ac:dyDescent="0.25">
      <c r="A15" s="3" t="s">
        <v>36</v>
      </c>
      <c r="C15" t="s">
        <v>44</v>
      </c>
      <c r="D15">
        <v>329.15</v>
      </c>
      <c r="E15">
        <v>13800</v>
      </c>
      <c r="F15">
        <v>-158000</v>
      </c>
    </row>
    <row r="16" spans="1:6" x14ac:dyDescent="0.25">
      <c r="A16" t="s">
        <v>42</v>
      </c>
      <c r="C16" t="s">
        <v>48</v>
      </c>
      <c r="D16">
        <v>309.14999999999998</v>
      </c>
      <c r="E16">
        <v>12100</v>
      </c>
      <c r="F16">
        <v>-186000</v>
      </c>
    </row>
    <row r="17" spans="1:6" x14ac:dyDescent="0.25">
      <c r="A17" t="s">
        <v>43</v>
      </c>
      <c r="C17" t="s">
        <v>45</v>
      </c>
      <c r="D17">
        <v>367.15</v>
      </c>
      <c r="E17">
        <v>10500</v>
      </c>
      <c r="F17">
        <v>-218000</v>
      </c>
    </row>
    <row r="18" spans="1:6" x14ac:dyDescent="0.25">
      <c r="A18" s="3" t="s">
        <v>38</v>
      </c>
      <c r="C18" t="s">
        <v>49</v>
      </c>
    </row>
    <row r="19" spans="1:6" x14ac:dyDescent="0.25">
      <c r="A19" s="3" t="s">
        <v>39</v>
      </c>
      <c r="C19" t="s">
        <v>46</v>
      </c>
    </row>
    <row r="20" spans="1:6" x14ac:dyDescent="0.25">
      <c r="A20" s="3" t="s">
        <v>37</v>
      </c>
      <c r="C20" t="s">
        <v>50</v>
      </c>
    </row>
    <row r="21" spans="1:6" x14ac:dyDescent="0.25">
      <c r="A21" s="3"/>
    </row>
    <row r="22" spans="1:6" x14ac:dyDescent="0.25">
      <c r="A22" s="3" t="s">
        <v>24</v>
      </c>
      <c r="C22" t="s">
        <v>51</v>
      </c>
      <c r="D22">
        <f>273.15+286</f>
        <v>559.15</v>
      </c>
      <c r="E22">
        <f>AVERAGE(7.56,6.72)*1000</f>
        <v>7140</v>
      </c>
      <c r="F22">
        <v>-190800</v>
      </c>
    </row>
    <row r="23" spans="1:6" x14ac:dyDescent="0.25">
      <c r="A23" s="3" t="s">
        <v>25</v>
      </c>
      <c r="C23" t="s">
        <v>52</v>
      </c>
      <c r="D23">
        <v>673.15</v>
      </c>
      <c r="E23">
        <f>AVERAGE(16.9,15.1)*1000</f>
        <v>16000</v>
      </c>
    </row>
    <row r="24" spans="1:6" x14ac:dyDescent="0.25">
      <c r="A24" s="3" t="s">
        <v>75</v>
      </c>
      <c r="C24" t="s">
        <v>76</v>
      </c>
      <c r="D24">
        <f>273.15+605</f>
        <v>878.15</v>
      </c>
      <c r="E24">
        <f>AVERAGE(19.2)*1000</f>
        <v>19200</v>
      </c>
    </row>
    <row r="25" spans="1:6" x14ac:dyDescent="0.25">
      <c r="A25" s="3"/>
    </row>
    <row r="26" spans="1:6" x14ac:dyDescent="0.25">
      <c r="A26" s="3" t="s">
        <v>35</v>
      </c>
      <c r="C26" t="s">
        <v>53</v>
      </c>
    </row>
    <row r="27" spans="1:6" x14ac:dyDescent="0.25">
      <c r="A27" s="3" t="s">
        <v>30</v>
      </c>
      <c r="C27" t="s">
        <v>31</v>
      </c>
    </row>
    <row r="28" spans="1:6" x14ac:dyDescent="0.25">
      <c r="A28" s="3" t="s">
        <v>34</v>
      </c>
      <c r="C28" s="5" t="s">
        <v>47</v>
      </c>
    </row>
    <row r="29" spans="1:6" x14ac:dyDescent="0.25">
      <c r="A29" s="3" t="s">
        <v>21</v>
      </c>
      <c r="C29" t="s">
        <v>54</v>
      </c>
      <c r="D29">
        <f>273.15+124</f>
        <v>397.15</v>
      </c>
      <c r="E29">
        <v>15800</v>
      </c>
      <c r="F29">
        <v>-395000</v>
      </c>
    </row>
    <row r="31" spans="1:6" x14ac:dyDescent="0.25">
      <c r="A31" s="3" t="s">
        <v>40</v>
      </c>
      <c r="C31" s="5" t="s">
        <v>47</v>
      </c>
    </row>
    <row r="32" spans="1:6" x14ac:dyDescent="0.25">
      <c r="A32" s="3" t="s">
        <v>41</v>
      </c>
      <c r="C32" s="5" t="s">
        <v>47</v>
      </c>
    </row>
    <row r="33" spans="1:6" x14ac:dyDescent="0.25">
      <c r="A33" s="3"/>
      <c r="C33" s="5"/>
    </row>
    <row r="34" spans="1:6" x14ac:dyDescent="0.25">
      <c r="A34" s="3" t="s">
        <v>74</v>
      </c>
      <c r="C34" s="5"/>
      <c r="D34">
        <v>395</v>
      </c>
      <c r="E34">
        <v>16150</v>
      </c>
    </row>
    <row r="36" spans="1:6" x14ac:dyDescent="0.25">
      <c r="A36" s="3" t="s">
        <v>58</v>
      </c>
      <c r="C36" t="s">
        <v>65</v>
      </c>
      <c r="D36">
        <v>449.7</v>
      </c>
      <c r="E36">
        <v>13597</v>
      </c>
      <c r="F36">
        <v>-89100</v>
      </c>
    </row>
    <row r="37" spans="1:6" x14ac:dyDescent="0.25">
      <c r="A37" s="3" t="s">
        <v>59</v>
      </c>
      <c r="C37" t="s">
        <v>66</v>
      </c>
      <c r="D37">
        <v>385.7</v>
      </c>
      <c r="E37">
        <v>18360</v>
      </c>
      <c r="F37">
        <v>-73010</v>
      </c>
    </row>
    <row r="38" spans="1:6" x14ac:dyDescent="0.25">
      <c r="A38" s="3" t="s">
        <v>60</v>
      </c>
      <c r="C38" t="s">
        <v>67</v>
      </c>
      <c r="D38">
        <v>387.15</v>
      </c>
      <c r="E38">
        <v>17730</v>
      </c>
    </row>
    <row r="39" spans="1:6" x14ac:dyDescent="0.25">
      <c r="A39" s="3" t="s">
        <v>61</v>
      </c>
      <c r="C39" t="s">
        <v>69</v>
      </c>
      <c r="D39">
        <v>473.15</v>
      </c>
    </row>
    <row r="40" spans="1:6" x14ac:dyDescent="0.25">
      <c r="A40" s="3" t="s">
        <v>68</v>
      </c>
      <c r="C40" t="s">
        <v>70</v>
      </c>
      <c r="D40">
        <v>319.64999999999998</v>
      </c>
    </row>
    <row r="41" spans="1:6" x14ac:dyDescent="0.25">
      <c r="A41" s="3" t="s">
        <v>62</v>
      </c>
      <c r="C41" t="s">
        <v>71</v>
      </c>
    </row>
    <row r="42" spans="1:6" x14ac:dyDescent="0.25">
      <c r="A42" s="3" t="s">
        <v>63</v>
      </c>
      <c r="C42" t="s">
        <v>72</v>
      </c>
      <c r="D42">
        <v>410.15</v>
      </c>
    </row>
    <row r="43" spans="1:6" x14ac:dyDescent="0.25">
      <c r="A43" s="3" t="s">
        <v>64</v>
      </c>
      <c r="C43" t="s">
        <v>73</v>
      </c>
      <c r="D43">
        <v>385.15</v>
      </c>
    </row>
  </sheetData>
  <autoFilter ref="A1:F1" xr:uid="{3399CF41-2FA5-4790-AC55-DE65A2BCB50A}">
    <sortState xmlns:xlrd2="http://schemas.microsoft.com/office/spreadsheetml/2017/richdata2" ref="A2:F14">
      <sortCondition ref="E1"/>
    </sortState>
  </autoFilter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86A1-84C7-4241-A3B9-138356725320}">
  <dimension ref="A1:L4"/>
  <sheetViews>
    <sheetView tabSelected="1" workbookViewId="0">
      <selection activeCell="A5" sqref="A5:XFD5"/>
    </sheetView>
  </sheetViews>
  <sheetFormatPr defaultRowHeight="15" x14ac:dyDescent="0.25"/>
  <cols>
    <col min="1" max="1" width="33.28515625" bestFit="1" customWidth="1"/>
    <col min="2" max="2" width="8.28515625" bestFit="1" customWidth="1"/>
    <col min="3" max="3" width="32.28515625" bestFit="1" customWidth="1"/>
    <col min="4" max="4" width="19.42578125" customWidth="1"/>
    <col min="5" max="5" width="19.7109375" customWidth="1"/>
    <col min="6" max="6" width="19.85546875" customWidth="1"/>
    <col min="7" max="7" width="18.42578125" customWidth="1"/>
    <col min="8" max="8" width="18" customWidth="1"/>
    <col min="9" max="9" width="12.85546875" customWidth="1"/>
    <col min="10" max="11" width="20.5703125" bestFit="1" customWidth="1"/>
    <col min="12" max="12" width="15.85546875" bestFit="1" customWidth="1"/>
  </cols>
  <sheetData>
    <row r="1" spans="1:12" ht="30" x14ac:dyDescent="0.25">
      <c r="A1" s="1" t="s">
        <v>0</v>
      </c>
      <c r="B1" s="1" t="s">
        <v>1</v>
      </c>
      <c r="C1" s="1" t="s">
        <v>2</v>
      </c>
      <c r="D1" s="2" t="s">
        <v>85</v>
      </c>
      <c r="E1" s="2" t="s">
        <v>77</v>
      </c>
      <c r="F1" s="2" t="s">
        <v>78</v>
      </c>
      <c r="G1" s="2" t="s">
        <v>79</v>
      </c>
      <c r="H1" s="2" t="s">
        <v>80</v>
      </c>
      <c r="I1" s="2" t="s">
        <v>81</v>
      </c>
      <c r="J1" s="2" t="s">
        <v>86</v>
      </c>
      <c r="K1" s="2" t="s">
        <v>82</v>
      </c>
      <c r="L1" s="2" t="s">
        <v>83</v>
      </c>
    </row>
    <row r="2" spans="1:12" x14ac:dyDescent="0.25">
      <c r="A2" s="3" t="s">
        <v>84</v>
      </c>
      <c r="C2" t="s">
        <v>54</v>
      </c>
    </row>
    <row r="3" spans="1:12" x14ac:dyDescent="0.25">
      <c r="A3" s="3" t="s">
        <v>87</v>
      </c>
      <c r="C3" t="s">
        <v>88</v>
      </c>
    </row>
    <row r="4" spans="1:12" x14ac:dyDescent="0.25">
      <c r="A4" s="3" t="s">
        <v>89</v>
      </c>
      <c r="C4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Unfinished CATALOG</vt:lpstr>
      <vt:lpstr>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J Glotov</dc:creator>
  <cp:lastModifiedBy>Alexander J Glotov</cp:lastModifiedBy>
  <dcterms:created xsi:type="dcterms:W3CDTF">2026-07-02T18:49:05Z</dcterms:created>
  <dcterms:modified xsi:type="dcterms:W3CDTF">2026-09-18T19:50:22Z</dcterms:modified>
</cp:coreProperties>
</file>