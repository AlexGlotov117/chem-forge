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CFF32F9B-D4DF-4480-A69E-4D341762BCB9}" xr6:coauthVersionLast="47" xr6:coauthVersionMax="47" xr10:uidLastSave="{00000000-0000-0000-0000-000000000000}"/>
  <bookViews>
    <workbookView xWindow="-28800" yWindow="0" windowWidth="14400" windowHeight="15600" xr2:uid="{22E7D031-F429-4E0A-8A8B-4D129F5BB641}"/>
  </bookViews>
  <sheets>
    <sheet name="CATALOG" sheetId="1" r:id="rId1"/>
    <sheet name="Input" sheetId="2" r:id="rId2"/>
  </sheets>
  <definedNames>
    <definedName name="_xlnm._FilterDatabase" localSheetId="0" hidden="1">CATALOG!$A$1:$F$1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1" l="1"/>
  <c r="D11" i="1"/>
  <c r="F10" i="1"/>
  <c r="E10" i="1"/>
  <c r="D10" i="1"/>
  <c r="F7" i="1"/>
  <c r="E7" i="1"/>
  <c r="D7" i="1"/>
  <c r="D22" i="1"/>
  <c r="D14" i="1"/>
  <c r="D28" i="1"/>
  <c r="D6" i="2"/>
  <c r="D2" i="2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D22" authorId="0" shapeId="0" xr:uid="{63C390B0-F0DD-4E22-8006-4770ED582EE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8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5501DECC-CA51-4608-A2A9-124DF8574F9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2" authorId="0" shapeId="0" xr:uid="{366F9C8A-C349-48E6-8883-C6E40BE5B81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2" authorId="0" shapeId="0" xr:uid="{F3DAE571-D049-4F99-B2BB-AD33D024F8C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3" authorId="0" shapeId="0" xr:uid="{FC2E5BC0-6FB5-46E6-A96C-B5A571D6D42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3" authorId="0" shapeId="0" xr:uid="{97513E38-6E68-43E5-A94C-6F8C909B7BC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3" authorId="0" shapeId="0" xr:uid="{1DBE5D3C-786F-4099-B286-532040D0D3A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4" authorId="0" shapeId="0" xr:uid="{E40BDC6B-934E-411C-B492-C5CD43E5E92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4" authorId="0" shapeId="0" xr:uid="{9BE4DF8B-2AFF-4A6C-9B30-43F0C8BC425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4" authorId="0" shapeId="0" xr:uid="{22C3A041-08B4-4358-8FFC-0CCF2BF6856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5" authorId="0" shapeId="0" xr:uid="{9B46E2A3-89E8-410D-9F36-E3CC4EDF12E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5" authorId="0" shapeId="0" xr:uid="{7AFC09FE-6D63-4AB4-9F34-8C6E6346C5F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5" authorId="0" shapeId="0" xr:uid="{19F57934-8119-42AF-9A95-961B9A76783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6" authorId="0" shapeId="0" xr:uid="{A44F0865-2292-4150-8EDA-994F95E330D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6" authorId="0" shapeId="0" xr:uid="{22EA6CA3-1836-4119-B6E7-99ADB8AE94F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6" authorId="0" shapeId="0" xr:uid="{7A8F76C3-1C0D-4DE3-9D30-F2E27379947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</commentList>
</comments>
</file>

<file path=xl/sharedStrings.xml><?xml version="1.0" encoding="utf-8"?>
<sst xmlns="http://schemas.openxmlformats.org/spreadsheetml/2006/main" count="94" uniqueCount="74">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</sst>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0" xfId="0" applyFill="1"/>
    <xf numFmtId="2" fontId="0" fillId="0" borderId="0" xfId="0" applyNumberFormat="1" applyFill="1"/>
    <xf numFmtId="0" fontId="0" fillId="0" borderId="0" xfId="0"/>
    <xf numFmtId="0" fontId="0" fillId="0" borderId="0" xfId="0" quotePrefix="1"/>
    <xf numFmtId="0" fontId="0" fillId="0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0"/>
  <sheetViews>
    <sheetView tabSelected="1" workbookViewId="0">
      <selection activeCell="F35" sqref="F35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4" t="s">
        <v>8</v>
      </c>
      <c r="B6" s="5"/>
      <c r="C6" s="5" t="s">
        <v>10</v>
      </c>
      <c r="D6" s="5">
        <v>283.45999999999998</v>
      </c>
      <c r="E6" s="5">
        <v>13800</v>
      </c>
      <c r="F6" s="5">
        <v>-507500</v>
      </c>
    </row>
    <row r="7" spans="1:6" x14ac:dyDescent="0.25">
      <c r="A7" s="4" t="s">
        <v>26</v>
      </c>
      <c r="B7" s="5" t="s">
        <v>27</v>
      </c>
      <c r="C7" s="5"/>
      <c r="D7" s="6">
        <f>(292+291+293+291.75)/4</f>
        <v>291.9375</v>
      </c>
      <c r="E7" s="5">
        <f>(18.303+18.285+18.28+18.476)/4*1000</f>
        <v>18336</v>
      </c>
      <c r="F7" s="5">
        <f>(-669.6-668.6)/2</f>
        <v>-669.1</v>
      </c>
    </row>
    <row r="8" spans="1:6" x14ac:dyDescent="0.25">
      <c r="A8" s="4" t="s">
        <v>17</v>
      </c>
      <c r="B8" s="5"/>
      <c r="C8" s="5" t="s">
        <v>19</v>
      </c>
      <c r="D8" s="5">
        <v>284.2</v>
      </c>
      <c r="E8" s="5">
        <v>21830</v>
      </c>
      <c r="F8" s="5">
        <v>-63010</v>
      </c>
    </row>
    <row r="9" spans="1:6" x14ac:dyDescent="0.25">
      <c r="A9" s="5"/>
      <c r="B9" s="5"/>
      <c r="C9" s="5"/>
      <c r="D9" s="5"/>
      <c r="E9" s="5"/>
      <c r="F9" s="5"/>
    </row>
    <row r="10" spans="1:6" x14ac:dyDescent="0.25">
      <c r="A10" s="4" t="s">
        <v>28</v>
      </c>
      <c r="B10" s="5" t="s">
        <v>29</v>
      </c>
      <c r="C10" s="5" t="s">
        <v>55</v>
      </c>
      <c r="D10" s="5">
        <f>(209.1+209.15)/2</f>
        <v>209.125</v>
      </c>
      <c r="E10" s="5">
        <f>(17.78+17.795)/2*1000</f>
        <v>17787.5</v>
      </c>
      <c r="F10" s="5">
        <f>(-556.4-569.4)/2*1000</f>
        <v>-562900</v>
      </c>
    </row>
    <row r="11" spans="1:6" x14ac:dyDescent="0.25">
      <c r="A11" s="4" t="s">
        <v>32</v>
      </c>
      <c r="B11" s="5"/>
      <c r="C11" s="5" t="s">
        <v>56</v>
      </c>
      <c r="D11" s="5">
        <f>AVERAGE(228.15,228)</f>
        <v>228.07499999999999</v>
      </c>
      <c r="E11" s="5">
        <f>AVERAGE(23.71,23.715)*1000</f>
        <v>23712.5</v>
      </c>
      <c r="F11" s="5">
        <v>-687000</v>
      </c>
    </row>
    <row r="12" spans="1:6" x14ac:dyDescent="0.25">
      <c r="A12" s="4" t="s">
        <v>33</v>
      </c>
      <c r="B12" s="5"/>
      <c r="C12" s="5" t="s">
        <v>57</v>
      </c>
      <c r="D12" s="5">
        <v>243.45</v>
      </c>
      <c r="E12" s="5">
        <v>29300</v>
      </c>
      <c r="F12" s="5">
        <v>-814000</v>
      </c>
    </row>
    <row r="13" spans="1:6" s="7" customFormat="1" x14ac:dyDescent="0.25">
      <c r="A13" s="4"/>
      <c r="B13" s="5"/>
      <c r="C13" s="5"/>
      <c r="D13" s="5"/>
      <c r="E13" s="5"/>
      <c r="F13" s="5"/>
    </row>
    <row r="14" spans="1:6" x14ac:dyDescent="0.25">
      <c r="A14" s="4" t="s">
        <v>22</v>
      </c>
      <c r="B14" s="5"/>
      <c r="C14" s="5" t="s">
        <v>23</v>
      </c>
      <c r="D14" s="5">
        <f>273.15+108</f>
        <v>381.15</v>
      </c>
      <c r="E14" s="5">
        <v>14600</v>
      </c>
      <c r="F14" s="5">
        <v>-133400</v>
      </c>
    </row>
    <row r="15" spans="1:6" x14ac:dyDescent="0.25">
      <c r="A15" s="4" t="s">
        <v>36</v>
      </c>
      <c r="B15" s="5"/>
      <c r="C15" s="5" t="s">
        <v>44</v>
      </c>
      <c r="D15" s="5">
        <v>329.15</v>
      </c>
      <c r="E15" s="5">
        <v>13800</v>
      </c>
      <c r="F15" s="5">
        <v>-158000</v>
      </c>
    </row>
    <row r="16" spans="1:6" x14ac:dyDescent="0.25">
      <c r="A16" s="5" t="s">
        <v>42</v>
      </c>
      <c r="B16" s="5"/>
      <c r="C16" s="5" t="s">
        <v>48</v>
      </c>
      <c r="D16" s="5">
        <v>309.14999999999998</v>
      </c>
      <c r="E16" s="5">
        <v>12100</v>
      </c>
      <c r="F16" s="5">
        <v>-186000</v>
      </c>
    </row>
    <row r="17" spans="1:6" x14ac:dyDescent="0.25">
      <c r="A17" s="5" t="s">
        <v>43</v>
      </c>
      <c r="B17" s="5"/>
      <c r="C17" s="5" t="s">
        <v>45</v>
      </c>
      <c r="D17" s="5">
        <v>367.15</v>
      </c>
      <c r="E17" s="5">
        <v>10500</v>
      </c>
      <c r="F17" s="5">
        <v>-218000</v>
      </c>
    </row>
    <row r="18" spans="1:6" x14ac:dyDescent="0.25">
      <c r="A18" s="4" t="s">
        <v>38</v>
      </c>
      <c r="B18" s="5"/>
      <c r="C18" s="5" t="s">
        <v>49</v>
      </c>
      <c r="D18" s="5"/>
      <c r="E18" s="5"/>
      <c r="F18" s="5"/>
    </row>
    <row r="19" spans="1:6" x14ac:dyDescent="0.25">
      <c r="A19" s="4" t="s">
        <v>39</v>
      </c>
      <c r="B19" s="5"/>
      <c r="C19" s="5" t="s">
        <v>46</v>
      </c>
      <c r="D19" s="5"/>
      <c r="E19" s="5"/>
      <c r="F19" s="5"/>
    </row>
    <row r="20" spans="1:6" x14ac:dyDescent="0.25">
      <c r="A20" s="4" t="s">
        <v>37</v>
      </c>
      <c r="B20" s="5"/>
      <c r="C20" s="5" t="s">
        <v>50</v>
      </c>
      <c r="D20" s="5"/>
      <c r="E20" s="5"/>
      <c r="F20" s="5"/>
    </row>
    <row r="21" spans="1:6" x14ac:dyDescent="0.25">
      <c r="A21" s="4"/>
      <c r="B21" s="5"/>
      <c r="C21" s="5"/>
      <c r="D21" s="5"/>
      <c r="E21" s="5"/>
      <c r="F21" s="5"/>
    </row>
    <row r="22" spans="1:6" x14ac:dyDescent="0.25">
      <c r="A22" s="4" t="s">
        <v>24</v>
      </c>
      <c r="B22" s="5"/>
      <c r="C22" s="5" t="s">
        <v>51</v>
      </c>
      <c r="D22" s="5">
        <f>273.15+268</f>
        <v>541.15</v>
      </c>
      <c r="E22" s="5"/>
      <c r="F22" s="5">
        <v>-190800</v>
      </c>
    </row>
    <row r="23" spans="1:6" x14ac:dyDescent="0.25">
      <c r="A23" s="4" t="s">
        <v>25</v>
      </c>
      <c r="B23" s="5"/>
      <c r="C23" s="5" t="s">
        <v>52</v>
      </c>
      <c r="D23" s="5">
        <v>673.15</v>
      </c>
      <c r="E23" s="5"/>
      <c r="F23" s="5"/>
    </row>
    <row r="24" spans="1:6" x14ac:dyDescent="0.25">
      <c r="A24" s="4"/>
      <c r="B24" s="5"/>
      <c r="C24" s="5"/>
      <c r="D24" s="5"/>
      <c r="E24" s="5"/>
      <c r="F24" s="5"/>
    </row>
    <row r="25" spans="1:6" x14ac:dyDescent="0.25">
      <c r="A25" s="4" t="s">
        <v>35</v>
      </c>
      <c r="B25" s="5"/>
      <c r="C25" s="5" t="s">
        <v>53</v>
      </c>
      <c r="D25" s="5"/>
      <c r="E25" s="5"/>
      <c r="F25" s="5"/>
    </row>
    <row r="26" spans="1:6" x14ac:dyDescent="0.25">
      <c r="A26" s="4" t="s">
        <v>30</v>
      </c>
      <c r="B26" s="5"/>
      <c r="C26" s="5" t="s">
        <v>31</v>
      </c>
      <c r="D26" s="5"/>
      <c r="E26" s="5"/>
      <c r="F26" s="5"/>
    </row>
    <row r="27" spans="1:6" x14ac:dyDescent="0.25">
      <c r="A27" s="4" t="s">
        <v>34</v>
      </c>
      <c r="B27" s="5"/>
      <c r="C27" s="9" t="s">
        <v>47</v>
      </c>
      <c r="D27" s="5"/>
      <c r="E27" s="5"/>
      <c r="F27" s="5"/>
    </row>
    <row r="28" spans="1:6" x14ac:dyDescent="0.25">
      <c r="A28" s="4" t="s">
        <v>21</v>
      </c>
      <c r="B28" s="5"/>
      <c r="C28" s="5" t="s">
        <v>54</v>
      </c>
      <c r="D28" s="5">
        <f>273.15+124</f>
        <v>397.15</v>
      </c>
      <c r="E28" s="5">
        <v>15800</v>
      </c>
      <c r="F28" s="5">
        <v>-395000</v>
      </c>
    </row>
    <row r="30" spans="1:6" x14ac:dyDescent="0.25">
      <c r="A30" s="4" t="s">
        <v>40</v>
      </c>
      <c r="C30" s="8" t="s">
        <v>47</v>
      </c>
    </row>
    <row r="31" spans="1:6" x14ac:dyDescent="0.25">
      <c r="A31" s="4" t="s">
        <v>41</v>
      </c>
      <c r="C31" s="8" t="s">
        <v>47</v>
      </c>
    </row>
    <row r="33" spans="1:6" x14ac:dyDescent="0.25">
      <c r="A33" s="4" t="s">
        <v>58</v>
      </c>
      <c r="C33" t="s">
        <v>65</v>
      </c>
      <c r="D33">
        <v>449.7</v>
      </c>
      <c r="E33">
        <v>13597</v>
      </c>
      <c r="F33">
        <v>-89100</v>
      </c>
    </row>
    <row r="34" spans="1:6" x14ac:dyDescent="0.25">
      <c r="A34" s="4" t="s">
        <v>59</v>
      </c>
      <c r="C34" t="s">
        <v>66</v>
      </c>
      <c r="D34">
        <v>385.7</v>
      </c>
      <c r="E34">
        <v>18360</v>
      </c>
      <c r="F34">
        <v>-73010</v>
      </c>
    </row>
    <row r="35" spans="1:6" x14ac:dyDescent="0.25">
      <c r="A35" s="4" t="s">
        <v>60</v>
      </c>
      <c r="C35" t="s">
        <v>67</v>
      </c>
      <c r="D35">
        <v>387.15</v>
      </c>
      <c r="E35">
        <v>17730</v>
      </c>
    </row>
    <row r="36" spans="1:6" x14ac:dyDescent="0.25">
      <c r="A36" s="4" t="s">
        <v>61</v>
      </c>
      <c r="C36" t="s">
        <v>69</v>
      </c>
      <c r="D36">
        <v>473.15</v>
      </c>
    </row>
    <row r="37" spans="1:6" s="7" customFormat="1" x14ac:dyDescent="0.25">
      <c r="A37" s="4" t="s">
        <v>68</v>
      </c>
      <c r="C37" s="7" t="s">
        <v>70</v>
      </c>
      <c r="D37" s="7">
        <v>319.64999999999998</v>
      </c>
    </row>
    <row r="38" spans="1:6" x14ac:dyDescent="0.25">
      <c r="A38" s="4" t="s">
        <v>62</v>
      </c>
      <c r="C38" t="s">
        <v>71</v>
      </c>
    </row>
    <row r="39" spans="1:6" x14ac:dyDescent="0.25">
      <c r="A39" s="4" t="s">
        <v>63</v>
      </c>
      <c r="C39" t="s">
        <v>72</v>
      </c>
      <c r="D39">
        <v>410.15</v>
      </c>
    </row>
    <row r="40" spans="1:6" x14ac:dyDescent="0.25">
      <c r="A40" s="4" t="s">
        <v>64</v>
      </c>
      <c r="C40" t="s">
        <v>73</v>
      </c>
      <c r="D40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F6"/>
  <sheetViews>
    <sheetView workbookViewId="0">
      <selection activeCell="A7" sqref="A7:XFD7"/>
    </sheetView>
  </sheetViews>
  <sheetFormatPr defaultRowHeight="15" x14ac:dyDescent="0.25"/>
  <cols>
    <col min="1" max="1" width="19.28515625" bestFit="1" customWidth="1"/>
    <col min="2" max="2" width="8.28515625" bestFit="1" customWidth="1"/>
    <col min="3" max="3" width="8.8554687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7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11</v>
      </c>
      <c r="B2" t="s">
        <v>12</v>
      </c>
      <c r="C2" t="s">
        <v>18</v>
      </c>
      <c r="D2">
        <f>79+273.15</f>
        <v>352.15</v>
      </c>
      <c r="E2">
        <v>7730</v>
      </c>
      <c r="F2">
        <v>-315890</v>
      </c>
    </row>
    <row r="3" spans="1:6" x14ac:dyDescent="0.25">
      <c r="A3" s="3" t="s">
        <v>17</v>
      </c>
      <c r="C3" t="s">
        <v>19</v>
      </c>
      <c r="D3">
        <v>284.2</v>
      </c>
      <c r="E3">
        <v>21830</v>
      </c>
      <c r="F3">
        <v>-63010</v>
      </c>
    </row>
    <row r="4" spans="1:6" x14ac:dyDescent="0.25">
      <c r="A4" s="3" t="s">
        <v>13</v>
      </c>
      <c r="C4" t="s">
        <v>20</v>
      </c>
      <c r="D4">
        <v>363.7</v>
      </c>
      <c r="E4">
        <v>12500</v>
      </c>
      <c r="F4">
        <v>49800</v>
      </c>
    </row>
    <row r="5" spans="1:6" x14ac:dyDescent="0.25">
      <c r="A5" s="3" t="s">
        <v>8</v>
      </c>
      <c r="C5" t="s">
        <v>10</v>
      </c>
      <c r="D5">
        <v>283.45999999999998</v>
      </c>
      <c r="E5">
        <v>13800</v>
      </c>
      <c r="F5">
        <v>-507500</v>
      </c>
    </row>
    <row r="6" spans="1:6" x14ac:dyDescent="0.25">
      <c r="A6" s="3" t="s">
        <v>6</v>
      </c>
      <c r="B6" t="s">
        <v>7</v>
      </c>
      <c r="C6" t="s">
        <v>9</v>
      </c>
      <c r="D6">
        <f>133+273.15</f>
        <v>406.15</v>
      </c>
      <c r="E6">
        <v>10340</v>
      </c>
      <c r="F6">
        <v>-333330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2026-07-14T21:11:20Z</dcterms:modified>
</cp:coreProperties>
</file>