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F9D4E42B-76FE-4822-8401-0C8EB8318DBD}" xr6:coauthVersionLast="47" xr6:coauthVersionMax="47" xr10:uidLastSave="{00000000-0000-0000-0000-000000000000}"/>
  <bookViews>
    <workbookView xWindow="-28110" yWindow="690" windowWidth="21600" windowHeight="14715" xr2:uid="{22E7D031-F429-4E0A-8A8B-4D129F5BB641}"/>
  </bookViews>
  <sheets>
    <sheet name="CATALOG" sheetId="1" r:id="rId1"/>
    <sheet name="Input" sheetId="2" r:id="rId2"/>
  </sheets>
  <definedNames>
    <definedName name="_xlnm._FilterDatabase" localSheetId="0" hidden="1">CATALOG!$A$1:$F$1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D8" i="1"/>
  <c r="F9" i="1"/>
  <c r="E9" i="1"/>
  <c r="D9" i="1"/>
  <c r="D12" i="1"/>
  <c r="D11" i="1"/>
  <c r="D7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8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8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8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9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9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9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10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10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10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1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1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D12" authorId="0" shapeId="0" xr:uid="{63C390B0-F0DD-4E22-8006-4770ED582EE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F1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<sst xmlns="http://schemas.openxmlformats.org/spreadsheetml/2006/main" count="52" uniqueCount="34">
  <si>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</si>
  <si>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</si>
  <si>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</si>
  <si>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</si>
  <si>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</si>
  <si>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</si>
  <si>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</si>
  <si>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</si>
  <si>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</si>
  <si>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</si>
  <si>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</si>
  <si>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</si>
  <si>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</si>
  <si>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</si>
  <si>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</si>
  <si>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</si>
  <si>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</si>
  <si>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</si>
  <si>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</si>
  <si>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</si>
  <si>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</si>
  <si>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</si>
  <si>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[BH4-].CCCC[N+](CCCC)(CCCC)CCCC</t>
  </si>
  <si>
    <t>Ammonia Borane</t>
  </si>
  <si>
    <t>[BH3-][NH3+]</t>
  </si>
  <si>
    <t>Lithium Borohydride</t>
  </si>
  <si>
    <t>[Li+].[BH4-]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</si>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</sst>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14"/>
  <sheetViews>
    <sheetView tabSelected="1" workbookViewId="0">
      <selection activeCell="C15" sqref="C15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4" t="s">
        <v>8</v>
      </c>
      <c r="B6" s="5"/>
      <c r="C6" s="5" t="s">
        <v>10</v>
      </c>
      <c r="D6" s="5">
        <v>283.45999999999998</v>
      </c>
      <c r="E6" s="5">
        <v>13800</v>
      </c>
      <c r="F6" s="5">
        <v>-507500</v>
      </c>
    </row>
    <row r="7" spans="1:6" x14ac:dyDescent="0.25">
      <c r="A7" s="4" t="s">
        <v>21</v>
      </c>
      <c r="B7" s="5"/>
      <c r="C7" s="5" t="s">
        <v>22</v>
      </c>
      <c r="D7" s="5">
        <f>273.15+124</f>
        <v>397.15</v>
      </c>
      <c r="E7" s="5">
        <v>15800</v>
      </c>
      <c r="F7" s="5"/>
    </row>
    <row r="8" spans="1:6" x14ac:dyDescent="0.25">
      <c r="A8" s="4" t="s">
        <v>30</v>
      </c>
      <c r="B8" s="5" t="s">
        <v>31</v>
      </c>
      <c r="C8" s="5"/>
      <c r="D8" s="5">
        <f>(209.1+209.15)/2</f>
        <v>209.125</v>
      </c>
      <c r="E8" s="5">
        <f>(17.78+17.795)/2*1000</f>
        <v>17787.5</v>
      </c>
      <c r="F8" s="5">
        <f>(-556.4-569.4)/2*1000</f>
        <v>-562900</v>
      </c>
    </row>
    <row r="9" spans="1:6" x14ac:dyDescent="0.25">
      <c r="A9" s="3" t="s">
        <v>28</v>
      </c>
      <c r="B9" t="s">
        <v>29</v>
      </c>
      <c r="D9" s="6">
        <f>(292+291+293+291.75)/4</f>
        <v>291.9375</v>
      </c>
      <c r="E9">
        <f>(18.303+18.285+18.28+18.476)/4*1000</f>
        <v>18336</v>
      </c>
      <c r="F9">
        <f>(-669.6-668.6)/2</f>
        <v>-669.1</v>
      </c>
    </row>
    <row r="10" spans="1:6" x14ac:dyDescent="0.25">
      <c r="A10" s="4" t="s">
        <v>17</v>
      </c>
      <c r="B10" s="5"/>
      <c r="C10" s="5" t="s">
        <v>19</v>
      </c>
      <c r="D10" s="5">
        <v>284.2</v>
      </c>
      <c r="E10" s="5">
        <v>21830</v>
      </c>
      <c r="F10" s="5">
        <v>-63010</v>
      </c>
    </row>
    <row r="11" spans="1:6" x14ac:dyDescent="0.25">
      <c r="A11" s="4" t="s">
        <v>23</v>
      </c>
      <c r="B11" s="5"/>
      <c r="C11" s="5" t="s">
        <v>24</v>
      </c>
      <c r="D11" s="5">
        <f>273.15+108</f>
        <v>381.15</v>
      </c>
      <c r="E11" s="5"/>
      <c r="F11" s="5">
        <v>-133400</v>
      </c>
    </row>
    <row r="12" spans="1:6" x14ac:dyDescent="0.25">
      <c r="A12" s="4" t="s">
        <v>25</v>
      </c>
      <c r="B12" s="5"/>
      <c r="C12" s="5" t="s">
        <v>26</v>
      </c>
      <c r="D12" s="5">
        <f>273.15+268</f>
        <v>541.15</v>
      </c>
      <c r="E12" s="5"/>
      <c r="F12" s="5">
        <v>-190800</v>
      </c>
    </row>
    <row r="13" spans="1:6" x14ac:dyDescent="0.25">
      <c r="A13" s="4" t="s">
        <v>27</v>
      </c>
      <c r="B13" s="5"/>
      <c r="C13" s="5"/>
      <c r="D13" s="5">
        <v>673.15</v>
      </c>
      <c r="E13" s="5"/>
      <c r="F13" s="5"/>
    </row>
    <row r="14" spans="1:6" x14ac:dyDescent="0.25">
      <c r="A14" s="4" t="s">
        <v>32</v>
      </c>
      <c r="B14" s="5"/>
      <c r="C14" s="5" t="s">
        <v>33</v>
      </c>
      <c r="D14" s="5"/>
      <c r="E14" s="5"/>
      <c r="F14" s="5"/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75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2026-07-08T18:56:23Z</dcterms:modified>
</cp:coreProperties>
</file>