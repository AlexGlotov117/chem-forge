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"/>
    </mc:Choice>
  </mc:AlternateContent>
  <xr:revisionPtr revIDLastSave="0" documentId="13_ncr:1_{D4A1B47E-1746-4B0E-9BA5-988B7B07E565}" xr6:coauthVersionLast="47" xr6:coauthVersionMax="47" xr10:uidLastSave="{00000000-0000-0000-0000-000000000000}"/>
  <bookViews>
    <workbookView xWindow="-120" yWindow="-120" windowWidth="29040" windowHeight="15840" activeTab="1" xr2:uid="{22E7D031-F429-4E0A-8A8B-4D129F5BB641}"/>
  </bookViews>
  <sheets>
    <sheet name="Unfinished CATALOG" sheetId="1" r:id="rId1"/>
    <sheet name="Pure Input" sheetId="2" r:id="rId2"/>
    <sheet name="Binary Input" sheetId="3" r:id="rId3"/>
  </sheets>
  <externalReferences>
    <externalReference r:id="rId4"/>
  </externalReferences>
  <definedNames>
    <definedName name="_xlnm._FilterDatabase" localSheetId="0" hidden="1">'Unfinished CATALOG'!$A$1:$F$1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" l="1"/>
  <c r="J2" i="2"/>
  <c r="I2" i="2"/>
  <c r="H2" i="2" a="1"/>
  <c r="G2" i="2"/>
  <c r="F2" i="2"/>
  <c r="E2" i="2" a="1"/>
  <c r="D2" i="2"/>
  <c r="E4" i="2"/>
  <c r="E3" i="2"/>
  <c r="H4" i="2"/>
  <c r="E24" i="1"/>
  <c r="D24" i="1"/>
  <c r="E23" i="1"/>
  <c r="E22" i="1"/>
  <c r="D22" i="1"/>
  <c r="E11" i="1"/>
  <c r="D11" i="1"/>
  <c r="F10" i="1"/>
  <c r="E10" i="1"/>
  <c r="D10" i="1"/>
  <c r="F7" i="1"/>
  <c r="E7" i="1"/>
  <c r="D7" i="1"/>
  <c r="D14" i="1"/>
  <c r="D29" i="1"/>
  <c r="E2" i="1"/>
  <c r="D3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D2" authorId="0" shapeId="0" xr:uid="{B7D4224E-A493-447D-84BA-7DDEFFF3C9D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https://pubchem.ncbi.nlm.nih.gov/compound/Water#section=Melting-Point</t>
        </r>
      </text>
    </comment>
    <comment ref="E2" authorId="0" shapeId="0" xr:uid="{5995BC99-B557-4A15-B6FB-81F561DA6AD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https://www.engineeringtoolbox.com/water-thermal-properties-d_162.html</t>
        </r>
      </text>
    </comment>
    <comment ref="F2" authorId="0" shapeId="0" xr:uid="{783F21FA-4AD3-468F-B910-64A10EB1842D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1)https://atct.anl.gov/Thermochemical%20Data/version%201.220/species/?species_number=24</t>
        </r>
      </text>
    </comment>
    <comment ref="D3" authorId="0" shapeId="0" xr:uid="{2C99D34F-09BE-451B-8192-07DB24810E5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3" authorId="0" shapeId="0" xr:uid="{36D0DEA9-FF41-4A3D-B02A-6E857248818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3" authorId="0" shapeId="0" xr:uid="{380BD958-450B-4177-80CD-D9786D489AA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1)https://atct.anl.gov/Thermochemical%20Data/version%201.220/species/?species_number=1912</t>
        </r>
      </text>
    </comment>
    <comment ref="D4" authorId="0" shapeId="0" xr:uid="{49F68355-A445-4BAF-90F2-E3C2E9145A4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4" authorId="0" shapeId="0" xr:uid="{ADF150B1-E417-45FE-81D2-E8DAE9F836D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4" authorId="0" shapeId="0" xr:uid="{E5BF108A-0EA7-4AC6-92BA-13EC6989AEC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5" authorId="0" shapeId="0" xr:uid="{787C61F0-F01E-4D84-8CAA-AAF8947405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E5" authorId="0" shapeId="0" xr:uid="{B609F4F6-1D6F-4E43-899A-039D6BA4839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F5" authorId="0" shapeId="0" xr:uid="{4457B27D-9D44-49EE-9499-EE2A8F5DB1F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1)https://webbook.nist.gov/cgi/cbook.cgi?ID=C288324&amp;Units=SI&amp;Mask=2#Thermo-Condensed</t>
        </r>
      </text>
    </comment>
    <comment ref="D6" authorId="0" shapeId="0" xr:uid="{4248127E-F186-424E-9304-4093375A6B0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6" authorId="0" shapeId="0" xr:uid="{AEBB7345-F0F7-4DD9-B32E-D9F056EBEF4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6" authorId="0" shapeId="0" xr:uid="{5106F13A-279A-4601-92D6-B2E92F9DD06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  <comment ref="D7" authorId="0" shapeId="0" xr:uid="{2CF6CDD1-F5E1-43E8-A19E-28BAAD5C627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E7" authorId="0" shapeId="0" xr:uid="{67560CD9-4B42-4009-8FEE-B7B0E0D24E4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F7" authorId="0" shapeId="0" xr:uid="{5E82BDD6-5DA8-4D10-AA85-ECD6AB017319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https://webbook.nist.gov/cgi/cbook.cgi?ID=C56815&amp;Units=SI&amp;Mask=2#Thermo-Condensed</t>
        </r>
      </text>
    </comment>
    <comment ref="D8" authorId="0" shapeId="0" xr:uid="{471E01A8-C311-4AC7-AEC5-5D6B6CAAD97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E8" authorId="0" shapeId="0" xr:uid="{CBC558AB-017C-4385-AA76-E249D19B2033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F8" authorId="0" shapeId="0" xr:uid="{AB8D56E7-0CD8-4253-A680-DB2E9B7966F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D10" authorId="0" shapeId="0" xr:uid="{1E1D85AE-73C9-4EE5-9B10-D99F6D60BD0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E10" authorId="0" shapeId="0" xr:uid="{EB6033F4-CA7E-49DB-BB17-C34560971AF5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F10" authorId="0" shapeId="0" xr:uid="{525F711F-3C09-481A-85BF-92F18353722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https://webbook.nist.gov/cgi/cbook.cgi?ID=C111966&amp;Mask=2#Thermo-Condensed</t>
        </r>
      </text>
    </comment>
    <comment ref="D11" authorId="0" shapeId="0" xr:uid="{E3FE7A1B-338F-492F-A6BF-400F515D6E3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E11" authorId="0" shapeId="0" xr:uid="{65CE4E3C-BF7D-46D6-8CA4-96B3A0D09621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D14" authorId="0" shapeId="0" xr:uid="{B68F36C1-4BA4-48F1-99E3-8AD353A1321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F14" authorId="0" shapeId="0" xr:uid="{BADEE219-B2DB-4696-8CD3-185AC97E6E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1)https://www.sciencedirect.com/science/article/abs/pii/S0040603115003354
2)https://www.sciencedirect.com/science/article/pii/S0016236125036129</t>
        </r>
      </text>
    </comment>
    <comment ref="F22" authorId="0" shapeId="0" xr:uid="{E1A1E0C1-3AE1-4CDA-A225-D95E0807710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1)https://matweb.com/search/datasheet.aspx?MatGUID=3118b2052ace4835a6d73687613def66&amp;ckck=1</t>
        </r>
      </text>
    </comment>
    <comment ref="D24" authorId="0" shapeId="0" xr:uid="{77977B3A-77FD-4B3F-B5BC-D929DC7D529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E24" authorId="0" shapeId="0" xr:uid="{569CA5D4-C30C-423C-827D-117707B9119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D29" authorId="0" shapeId="0" xr:uid="{74CA7090-F16F-4E81-9C1D-4C76B0CA001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D34" authorId="0" shapeId="0" xr:uid="{D4CAD80C-B7CB-420F-8676-3A2ADB9B10C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  <comment ref="E34" authorId="0" shapeId="0" xr:uid="{5850F739-EC51-4500-92CB-C367CCC5DCEE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<sst xmlns="http://schemas.openxmlformats.org/spreadsheetml/2006/main" count="298" uniqueCount="108">
  <si>
    <t>Full Name</t>
  </si>
  <si>
    <t>Symbol</t>
  </si>
  <si>
    <t>SMILES</t>
  </si>
  <si>
    <t>Melting Temp
[K]</t>
  </si>
  <si>
    <t>Heat of Fusion
[J/mol]</t>
  </si>
  <si>
    <t>Standard Heat of Formation
[J/mol]</t>
  </si>
  <si>
    <t>Urea</t>
  </si>
  <si>
    <t>CH4N2O</t>
  </si>
  <si>
    <t>Monoethanolamine</t>
  </si>
  <si>
    <t>NC(N)=O</t>
  </si>
  <si>
    <t>NCCO</t>
  </si>
  <si>
    <t>Acetamide</t>
  </si>
  <si>
    <t>C2H5NO</t>
  </si>
  <si>
    <t>Imidazole</t>
  </si>
  <si>
    <t>Water</t>
  </si>
  <si>
    <t>H2O</t>
  </si>
  <si>
    <t>O</t>
  </si>
  <si>
    <t>Ethylenediamine</t>
  </si>
  <si>
    <t>CC(N)=O</t>
  </si>
  <si>
    <t>NCCN</t>
  </si>
  <si>
    <t>c1c[nH]cn1</t>
  </si>
  <si>
    <t>Tetrabutylammonium Borohydride</t>
  </si>
  <si>
    <t>Ammonia Borane</t>
  </si>
  <si>
    <t>[BH3-][NH3+]</t>
  </si>
  <si>
    <t>Lithium Borohydride</t>
  </si>
  <si>
    <t>Sodium Borohydride</t>
  </si>
  <si>
    <t>Glycerol</t>
  </si>
  <si>
    <t>C3H8O3</t>
  </si>
  <si>
    <t>Diglyme</t>
  </si>
  <si>
    <t>C6H14O3</t>
  </si>
  <si>
    <t>Tetraethylammonium Borohydride</t>
  </si>
  <si>
    <t>CC[N+](CC)(CC)CC.[BH4-]</t>
  </si>
  <si>
    <t>Trigylme</t>
  </si>
  <si>
    <t>Tetraglyme</t>
  </si>
  <si>
    <t>Tetrapropylammonium Borohydride</t>
  </si>
  <si>
    <t>Tetramethylammonium Borohydride</t>
  </si>
  <si>
    <t>Methylamine Borane</t>
  </si>
  <si>
    <t>Butylamine Borane</t>
  </si>
  <si>
    <t>Ethylamine Borane</t>
  </si>
  <si>
    <t>Propylamine Borane</t>
  </si>
  <si>
    <t>Trimethylbutylammonium borohydride</t>
  </si>
  <si>
    <t>Tetrabutylphosphonium borohydride</t>
  </si>
  <si>
    <t>Dimethylamine Borane</t>
  </si>
  <si>
    <t>Trimethylamine Borane</t>
  </si>
  <si>
    <t>[B-][NH2+]C</t>
  </si>
  <si>
    <t>[B][N+](C)(C)C</t>
  </si>
  <si>
    <t>[BH3-][NH2+]CCC</t>
  </si>
  <si>
    <t>---</t>
  </si>
  <si>
    <t>CNC.[B]</t>
  </si>
  <si>
    <t>CCN.[B]</t>
  </si>
  <si>
    <t>CCCCN.[B]</t>
  </si>
  <si>
    <t>[BH4-].[Li+]</t>
  </si>
  <si>
    <t>[BH4-].[Na+]</t>
  </si>
  <si>
    <t>C[N+](C)(C)C.[BH4-]</t>
  </si>
  <si>
    <t>CCCC[N+](CCCC)(CCCC)CCCC.[BH4-]</t>
  </si>
  <si>
    <t>COCCOCCOC</t>
  </si>
  <si>
    <t>COCCOCCOCCOC</t>
  </si>
  <si>
    <t>COCCOCCOCCOCCOC</t>
  </si>
  <si>
    <t>Thiourea</t>
  </si>
  <si>
    <t>Thioacetamide</t>
  </si>
  <si>
    <t>Thiobenzamide</t>
  </si>
  <si>
    <t>Thioisonicotinamide</t>
  </si>
  <si>
    <t>Pyrrole-2-thiocarboxamide</t>
  </si>
  <si>
    <t>Pyridine-2-thiocarboxamide</t>
  </si>
  <si>
    <t>Cyclopropanethiocarboxamide</t>
  </si>
  <si>
    <t>C(=S)(N)N</t>
  </si>
  <si>
    <t>CC(=S)N</t>
  </si>
  <si>
    <t>C1=CC=C(C=C1)C(=S)N</t>
  </si>
  <si>
    <t>Thioisobutyramide</t>
  </si>
  <si>
    <t>C1=CN=CC=C1C(=S)N</t>
  </si>
  <si>
    <t>CC(C)C(=S)N</t>
  </si>
  <si>
    <t>C1=CNC(=C1)C(=S)N</t>
  </si>
  <si>
    <t>C1=CC=NC(=C1)C(=S)N</t>
  </si>
  <si>
    <t>C1CC1C(=S)N</t>
  </si>
  <si>
    <t>Tetra-N-butylammonium bromide</t>
  </si>
  <si>
    <t>Potassium Borohydride</t>
  </si>
  <si>
    <t>[BH4-].[K+]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</si>
  <si>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</si>
  <si>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</si>
  <si>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</si>
  <si>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</si>
  <si>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</si>
  <si>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STDEV [kJ/mol]</t>
  </si>
  <si>
    <t>Enthalpy of Formation Count</t>
  </si>
  <si>
    <t>Melting Temperature [K]</t>
  </si>
  <si>
    <t>Enthalpy of Formation [kJ/mol]</t>
  </si>
  <si>
    <t>tetrabutylammonium chloride</t>
  </si>
  <si>
    <t>tetramethylammonium chloride</t>
  </si>
  <si>
    <t>tetraethylammonium bromide</t>
  </si>
  <si>
    <t>tetrapropylammonium bromide</t>
  </si>
  <si>
    <t>tetraethylammonium chloride</t>
  </si>
  <si>
    <t>tetrapropylammonium chloride</t>
  </si>
  <si>
    <t>potassium chloride</t>
  </si>
  <si>
    <t>lithium chloride</t>
  </si>
  <si>
    <t>Chemical (1)</t>
  </si>
  <si>
    <t>Chemical (2)</t>
  </si>
  <si>
    <t>Composition (1)</t>
  </si>
  <si>
    <t>Composition (2)</t>
  </si>
  <si>
    <t>Temperature</t>
  </si>
  <si>
    <t>Temperature Unit</t>
  </si>
  <si>
    <t>K</t>
  </si>
  <si>
    <t>—</t>
  </si>
  <si>
    <t>ammonia borane</t>
  </si>
  <si>
    <t>tetramethylammonium borohydride</t>
  </si>
  <si>
    <t>[BH4-].C[N+](C)(C)C</t>
  </si>
  <si>
    <t>[BH4-].CCCC[N+](CCCC)(CCCC)CCCC</t>
  </si>
  <si>
    <t>B.N</t>
  </si>
  <si>
    <t>tetrabutylammonium borohydride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</si>
</sst>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0" fontId="0" fillId="0" borderId="0" xfId="0" quotePrefix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urdue0-my.sharepoint.com/personal/aglotov_purdue_edu/Documents/Documents/Zucrow%20Labs/Conferences/JANNAF%20Dec%202026/CHARACTERIZING%20THE%20THEORETICAL%20COMBUSTION%20OF%20BOROHYDRIDE-BASED%20DEEP%20EUTECTIC%20PROPELLANTS/MTGP_Dataset.xlsx" TargetMode="External"/><Relationship Id="rId2" Type="http://schemas.microsoft.com/office/2019/04/relationships/externalLinkLongPath" Target="https://purdue0-my.sharepoint.com/personal/aglotov_purdue_edu/Documents/Documents/Zucrow%20Labs/Conferences/JANNAF%20Dec%202026/CHARACTERIZING%20THE%20THEORETICAL%20COMBUSTION%20OF%20BOROHYDRIDE-BASED%20DEEP%20EUTECTIC%20PROPELLANTS/MTGP_Dataset.xlsx?99440EFE" TargetMode="External"/><Relationship Id="rId1" Type="http://schemas.openxmlformats.org/officeDocument/2006/relationships/externalLinkPath" Target="file:///\\99440EFE\MTGP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TALOG"/>
      <sheetName val="Chemical Names"/>
      <sheetName val="Melting Temperature"/>
      <sheetName val="Enthalpy of Fusion"/>
      <sheetName val="Enthalpy of Formation"/>
      <sheetName val="Binary SLE"/>
      <sheetName val="Chemical Search"/>
      <sheetName val="Chemical Generator"/>
      <sheetName val="Input"/>
    </sheetNames>
    <sheetDataSet>
      <sheetData sheetId="0"/>
      <sheetData sheetId="1"/>
      <sheetData sheetId="2">
        <row r="1">
          <cell r="A1" t="str">
            <v>Chemical</v>
          </cell>
          <cell r="E1" t="str">
            <v>Standard Value</v>
          </cell>
        </row>
        <row r="2">
          <cell r="A2" t="str">
            <v>tetrabutylammonium bromide</v>
          </cell>
          <cell r="E2">
            <v>395</v>
          </cell>
        </row>
        <row r="3">
          <cell r="A3" t="str">
            <v>tetrabutylammonium chloride</v>
          </cell>
          <cell r="E3">
            <v>314.14999999999998</v>
          </cell>
        </row>
        <row r="4">
          <cell r="A4" t="str">
            <v>tetrapentylammonium chloride</v>
          </cell>
          <cell r="E4">
            <v>295.14999999999998</v>
          </cell>
        </row>
        <row r="5">
          <cell r="A5" t="str">
            <v>tetraheptylammonium chloride</v>
          </cell>
          <cell r="E5">
            <v>264.14999999999998</v>
          </cell>
        </row>
        <row r="6">
          <cell r="A6" t="str">
            <v>tetrabutylammonium bromide</v>
          </cell>
          <cell r="E6">
            <v>395.15</v>
          </cell>
        </row>
        <row r="7">
          <cell r="A7" t="str">
            <v>tetrapentylammonium bromide</v>
          </cell>
          <cell r="E7">
            <v>376.15</v>
          </cell>
        </row>
        <row r="8">
          <cell r="A8" t="str">
            <v>tetrahexylammonium bromide</v>
          </cell>
          <cell r="E8">
            <v>377.15</v>
          </cell>
        </row>
        <row r="9">
          <cell r="A9" t="str">
            <v>tetrabutylammonium iodide</v>
          </cell>
          <cell r="E9">
            <v>419.15</v>
          </cell>
        </row>
        <row r="10">
          <cell r="A10" t="str">
            <v>tetrapentylammonium iodide</v>
          </cell>
          <cell r="E10">
            <v>412.15</v>
          </cell>
        </row>
        <row r="11">
          <cell r="A11" t="str">
            <v>tetramethylammonium nitrate</v>
          </cell>
          <cell r="E11">
            <v>683</v>
          </cell>
        </row>
        <row r="12">
          <cell r="A12" t="str">
            <v>tetrabutylammonium nitrate</v>
          </cell>
          <cell r="E12">
            <v>388.4</v>
          </cell>
        </row>
        <row r="13">
          <cell r="A13" t="str">
            <v>tetrabutylammonium nitrate</v>
          </cell>
          <cell r="E13">
            <v>389.3</v>
          </cell>
        </row>
        <row r="14">
          <cell r="A14" t="str">
            <v>tetrabutylammonium nitrate</v>
          </cell>
          <cell r="E14">
            <v>392.2</v>
          </cell>
        </row>
        <row r="15">
          <cell r="A15" t="str">
            <v>tetrabutylammonium tetraphenylborate</v>
          </cell>
          <cell r="E15">
            <v>502.2</v>
          </cell>
        </row>
        <row r="16">
          <cell r="A16" t="str">
            <v>tetraethylammonium bromide</v>
          </cell>
          <cell r="E16">
            <v>447</v>
          </cell>
        </row>
        <row r="17">
          <cell r="A17" t="str">
            <v>tetramethylammonium chloride</v>
          </cell>
          <cell r="E17">
            <v>612.87</v>
          </cell>
        </row>
        <row r="18">
          <cell r="A18" t="str">
            <v>tetramethylammonium chloride</v>
          </cell>
          <cell r="E18">
            <v>693.15</v>
          </cell>
        </row>
        <row r="19">
          <cell r="A19" t="str">
            <v>tetraethylammonium chloride</v>
          </cell>
          <cell r="E19">
            <v>526.78</v>
          </cell>
        </row>
        <row r="20">
          <cell r="A20" t="str">
            <v>tetrapropylammonium chloride</v>
          </cell>
          <cell r="E20">
            <v>503.07</v>
          </cell>
        </row>
        <row r="21">
          <cell r="A21" t="str">
            <v>tetrapropylammonium chloride</v>
          </cell>
          <cell r="E21">
            <v>416.15</v>
          </cell>
        </row>
        <row r="22">
          <cell r="A22" t="str">
            <v>ammonia</v>
          </cell>
          <cell r="E22">
            <v>194.95</v>
          </cell>
        </row>
        <row r="23">
          <cell r="A23" t="str">
            <v>methyl bromide</v>
          </cell>
          <cell r="E23">
            <v>179.5</v>
          </cell>
        </row>
        <row r="24">
          <cell r="A24" t="str">
            <v>methyl chloride</v>
          </cell>
          <cell r="E24">
            <v>182</v>
          </cell>
        </row>
        <row r="25">
          <cell r="A25" t="str">
            <v>methyl chloride</v>
          </cell>
          <cell r="E25">
            <v>175.55</v>
          </cell>
        </row>
        <row r="26">
          <cell r="A26" t="str">
            <v>methyl chloride</v>
          </cell>
          <cell r="E26">
            <v>176.5</v>
          </cell>
        </row>
        <row r="27">
          <cell r="A27" t="str">
            <v>methyl iodide</v>
          </cell>
          <cell r="E27">
            <v>206.7</v>
          </cell>
        </row>
        <row r="28">
          <cell r="A28" t="str">
            <v>methyl iodide</v>
          </cell>
          <cell r="E28">
            <v>208.1</v>
          </cell>
        </row>
        <row r="29">
          <cell r="A29" t="str">
            <v>ethyl bromide</v>
          </cell>
          <cell r="E29">
            <v>155</v>
          </cell>
        </row>
        <row r="30">
          <cell r="A30" t="str">
            <v>ethyl chloride</v>
          </cell>
          <cell r="E30">
            <v>136.75</v>
          </cell>
        </row>
        <row r="31">
          <cell r="A31" t="str">
            <v>ethyl chloride</v>
          </cell>
          <cell r="E31">
            <v>133</v>
          </cell>
        </row>
        <row r="32">
          <cell r="A32" t="str">
            <v>ethyl chloride</v>
          </cell>
          <cell r="E32">
            <v>137</v>
          </cell>
        </row>
        <row r="33">
          <cell r="A33" t="str">
            <v>ethyl chloride</v>
          </cell>
          <cell r="E33">
            <v>132.30000000000001</v>
          </cell>
        </row>
        <row r="34">
          <cell r="A34" t="str">
            <v>ethyl iodide</v>
          </cell>
          <cell r="E34">
            <v>162.05000000000001</v>
          </cell>
        </row>
        <row r="35">
          <cell r="A35" t="str">
            <v>ethyl iodide</v>
          </cell>
          <cell r="E35">
            <v>162.30000000000001</v>
          </cell>
        </row>
        <row r="36">
          <cell r="A36" t="str">
            <v>methane</v>
          </cell>
          <cell r="E36">
            <v>85.7</v>
          </cell>
        </row>
        <row r="37">
          <cell r="A37" t="str">
            <v>methane</v>
          </cell>
          <cell r="E37">
            <v>90.6</v>
          </cell>
        </row>
        <row r="38">
          <cell r="A38" t="str">
            <v>methane</v>
          </cell>
          <cell r="E38">
            <v>91.2</v>
          </cell>
        </row>
        <row r="39">
          <cell r="A39" t="str">
            <v>methane</v>
          </cell>
          <cell r="E39">
            <v>90.6</v>
          </cell>
        </row>
        <row r="40">
          <cell r="A40" t="str">
            <v>methane</v>
          </cell>
          <cell r="E40">
            <v>90.5</v>
          </cell>
        </row>
        <row r="41">
          <cell r="A41" t="str">
            <v>ethane</v>
          </cell>
          <cell r="E41">
            <v>101</v>
          </cell>
        </row>
        <row r="42">
          <cell r="A42" t="str">
            <v>ethane</v>
          </cell>
          <cell r="E42">
            <v>89.2</v>
          </cell>
        </row>
        <row r="43">
          <cell r="A43" t="str">
            <v>methylamine</v>
          </cell>
          <cell r="E43">
            <v>180.05</v>
          </cell>
        </row>
        <row r="44">
          <cell r="A44" t="str">
            <v>methylamine</v>
          </cell>
          <cell r="E44">
            <v>180.05</v>
          </cell>
        </row>
        <row r="45">
          <cell r="A45" t="str">
            <v>methylamine</v>
          </cell>
          <cell r="E45">
            <v>179.7</v>
          </cell>
        </row>
        <row r="46">
          <cell r="A46" t="str">
            <v>propylamine</v>
          </cell>
          <cell r="E46">
            <v>190.15</v>
          </cell>
        </row>
        <row r="47">
          <cell r="A47" t="str">
            <v>dimethylamine</v>
          </cell>
          <cell r="E47">
            <v>180.15</v>
          </cell>
        </row>
        <row r="48">
          <cell r="A48" t="str">
            <v>dimethylamine</v>
          </cell>
          <cell r="E48">
            <v>178.9</v>
          </cell>
        </row>
        <row r="49">
          <cell r="A49" t="str">
            <v>dimethylamine</v>
          </cell>
          <cell r="E49">
            <v>180.15</v>
          </cell>
        </row>
        <row r="50">
          <cell r="A50" t="str">
            <v>dimethylamine</v>
          </cell>
          <cell r="E50">
            <v>180.25</v>
          </cell>
        </row>
        <row r="51">
          <cell r="A51" t="str">
            <v>dimethylamine</v>
          </cell>
          <cell r="E51">
            <v>177.15</v>
          </cell>
        </row>
        <row r="52">
          <cell r="A52" t="str">
            <v>trimethylamine</v>
          </cell>
          <cell r="E52">
            <v>155.94999999999999</v>
          </cell>
        </row>
        <row r="53">
          <cell r="A53" t="str">
            <v>trimethylamine</v>
          </cell>
          <cell r="E53">
            <v>149.4</v>
          </cell>
        </row>
        <row r="54">
          <cell r="A54" t="str">
            <v>trimethylamine</v>
          </cell>
          <cell r="E54">
            <v>155.94999999999999</v>
          </cell>
        </row>
        <row r="55">
          <cell r="A55" t="str">
            <v>trimethylamine</v>
          </cell>
          <cell r="E55">
            <v>155.85</v>
          </cell>
        </row>
        <row r="56">
          <cell r="A56" t="str">
            <v>trimethylamine</v>
          </cell>
          <cell r="E56">
            <v>149.15</v>
          </cell>
        </row>
        <row r="57">
          <cell r="A57" t="str">
            <v>acetonitrile</v>
          </cell>
          <cell r="E57">
            <v>228</v>
          </cell>
        </row>
        <row r="58">
          <cell r="A58" t="str">
            <v>propanenitrile</v>
          </cell>
          <cell r="E58">
            <v>180</v>
          </cell>
        </row>
        <row r="59">
          <cell r="A59" t="str">
            <v>benzonitrile</v>
          </cell>
          <cell r="E59">
            <v>263</v>
          </cell>
        </row>
        <row r="60">
          <cell r="A60" t="str">
            <v>butanenitrile</v>
          </cell>
          <cell r="E60">
            <v>161.25</v>
          </cell>
        </row>
        <row r="61">
          <cell r="A61" t="str">
            <v>butanenitrile</v>
          </cell>
          <cell r="E61">
            <v>161.15</v>
          </cell>
        </row>
        <row r="62">
          <cell r="A62" t="str">
            <v>butanenitrile</v>
          </cell>
          <cell r="E62">
            <v>160</v>
          </cell>
        </row>
        <row r="63">
          <cell r="A63" t="str">
            <v>butanenitrile</v>
          </cell>
          <cell r="E63">
            <v>161.25</v>
          </cell>
        </row>
        <row r="64">
          <cell r="A64" t="str">
            <v>butanenitrile</v>
          </cell>
          <cell r="E64">
            <v>160.9</v>
          </cell>
        </row>
        <row r="65">
          <cell r="A65" t="str">
            <v>cyanogen</v>
          </cell>
          <cell r="E65">
            <v>245.32</v>
          </cell>
        </row>
        <row r="66">
          <cell r="A66" t="str">
            <v>cyanogen</v>
          </cell>
          <cell r="E66">
            <v>245.3</v>
          </cell>
        </row>
        <row r="67">
          <cell r="A67" t="str">
            <v>hydrazine</v>
          </cell>
          <cell r="E67">
            <v>275</v>
          </cell>
        </row>
        <row r="68">
          <cell r="A68" t="str">
            <v>hydrazine</v>
          </cell>
          <cell r="E68">
            <v>274.64999999999998</v>
          </cell>
        </row>
        <row r="69">
          <cell r="A69" t="str">
            <v>hydrazine</v>
          </cell>
          <cell r="E69">
            <v>275.14999999999998</v>
          </cell>
        </row>
        <row r="70">
          <cell r="A70" t="str">
            <v>monomethylhydrazine</v>
          </cell>
          <cell r="E70">
            <v>220.79</v>
          </cell>
        </row>
        <row r="71">
          <cell r="A71" t="str">
            <v>monomethylhydrazine</v>
          </cell>
          <cell r="E71">
            <v>220.8</v>
          </cell>
        </row>
        <row r="72">
          <cell r="A72" t="str">
            <v>dimethylhydrazine</v>
          </cell>
          <cell r="E72">
            <v>215.95</v>
          </cell>
        </row>
        <row r="73">
          <cell r="A73" t="str">
            <v>dimethylhydrazine</v>
          </cell>
          <cell r="E73">
            <v>216</v>
          </cell>
        </row>
        <row r="74">
          <cell r="A74" t="str">
            <v>dinitrogen tetroxide</v>
          </cell>
          <cell r="E74">
            <v>263.84999999999997</v>
          </cell>
        </row>
        <row r="75">
          <cell r="A75" t="str">
            <v>dioxygen</v>
          </cell>
          <cell r="E75">
            <v>327.95</v>
          </cell>
        </row>
        <row r="76">
          <cell r="A76" t="str">
            <v>dinitrogen</v>
          </cell>
          <cell r="E76">
            <v>63.049999999999983</v>
          </cell>
        </row>
        <row r="77">
          <cell r="A77" t="str">
            <v>dinitrogen</v>
          </cell>
          <cell r="E77">
            <v>63.149999999999977</v>
          </cell>
        </row>
        <row r="78">
          <cell r="A78" t="str">
            <v>dinitrogen</v>
          </cell>
          <cell r="E78">
            <v>63.139999999999986</v>
          </cell>
        </row>
        <row r="79">
          <cell r="A79" t="str">
            <v>dihydrogen</v>
          </cell>
          <cell r="E79">
            <v>14.009999999999991</v>
          </cell>
        </row>
        <row r="80">
          <cell r="A80" t="str">
            <v>dihydrogen</v>
          </cell>
          <cell r="E80">
            <v>13.989999999999952</v>
          </cell>
        </row>
        <row r="81">
          <cell r="A81" t="str">
            <v>dihydrogen</v>
          </cell>
          <cell r="E81">
            <v>13.799999999999955</v>
          </cell>
        </row>
        <row r="82">
          <cell r="A82" t="str">
            <v>dichlorine</v>
          </cell>
          <cell r="E82">
            <v>171.64999999999998</v>
          </cell>
        </row>
        <row r="83">
          <cell r="A83" t="str">
            <v>dichlorine</v>
          </cell>
          <cell r="E83">
            <v>171.64999999999998</v>
          </cell>
        </row>
        <row r="84">
          <cell r="A84" t="str">
            <v>dichlorine</v>
          </cell>
          <cell r="E84">
            <v>171.64999999999998</v>
          </cell>
        </row>
        <row r="85">
          <cell r="A85" t="str">
            <v>lithium</v>
          </cell>
          <cell r="E85">
            <v>453.68999999999994</v>
          </cell>
        </row>
        <row r="86">
          <cell r="A86" t="str">
            <v>lithium</v>
          </cell>
          <cell r="E86">
            <v>453.65</v>
          </cell>
        </row>
        <row r="87">
          <cell r="A87" t="str">
            <v>lithium</v>
          </cell>
          <cell r="E87">
            <v>453.68999999999994</v>
          </cell>
        </row>
        <row r="88">
          <cell r="A88" t="str">
            <v>boron</v>
          </cell>
          <cell r="E88">
            <v>2349.15</v>
          </cell>
        </row>
        <row r="89">
          <cell r="A89" t="str">
            <v>boron</v>
          </cell>
          <cell r="E89">
            <v>2348.15</v>
          </cell>
        </row>
        <row r="90">
          <cell r="A90" t="str">
            <v>boron</v>
          </cell>
          <cell r="E90">
            <v>2349.15</v>
          </cell>
        </row>
        <row r="91">
          <cell r="A91" t="str">
            <v>sodium</v>
          </cell>
          <cell r="E91">
            <v>370.87</v>
          </cell>
        </row>
        <row r="92">
          <cell r="A92" t="str">
            <v>sodium</v>
          </cell>
          <cell r="E92">
            <v>370.94399999999996</v>
          </cell>
        </row>
        <row r="93">
          <cell r="A93" t="str">
            <v>sodium</v>
          </cell>
          <cell r="E93">
            <v>370.96999999999997</v>
          </cell>
        </row>
        <row r="94">
          <cell r="A94" t="str">
            <v>sulfur</v>
          </cell>
          <cell r="E94">
            <v>368.45</v>
          </cell>
        </row>
        <row r="95">
          <cell r="A95" t="str">
            <v>sulfur</v>
          </cell>
          <cell r="E95">
            <v>388.35999999999996</v>
          </cell>
        </row>
        <row r="96">
          <cell r="A96" t="str">
            <v>sulfur</v>
          </cell>
          <cell r="E96">
            <v>379.95</v>
          </cell>
        </row>
        <row r="97">
          <cell r="A97" t="str">
            <v>potassium</v>
          </cell>
          <cell r="E97">
            <v>336.53</v>
          </cell>
        </row>
        <row r="98">
          <cell r="A98" t="str">
            <v>potassium</v>
          </cell>
          <cell r="E98">
            <v>336.65</v>
          </cell>
        </row>
        <row r="99">
          <cell r="A99" t="str">
            <v>potassium</v>
          </cell>
          <cell r="E99">
            <v>336.53</v>
          </cell>
        </row>
        <row r="100">
          <cell r="A100" t="str">
            <v>calcium</v>
          </cell>
          <cell r="E100">
            <v>1115.1500000000001</v>
          </cell>
        </row>
        <row r="101">
          <cell r="A101" t="str">
            <v>calcium</v>
          </cell>
          <cell r="E101">
            <v>1115.1500000000001</v>
          </cell>
        </row>
        <row r="102">
          <cell r="A102" t="str">
            <v>calcium</v>
          </cell>
          <cell r="E102">
            <v>1115.1500000000001</v>
          </cell>
        </row>
        <row r="103">
          <cell r="A103" t="str">
            <v>sodium chloride</v>
          </cell>
          <cell r="E103">
            <v>1074</v>
          </cell>
        </row>
        <row r="104">
          <cell r="A104" t="str">
            <v>sodium chloride</v>
          </cell>
          <cell r="E104">
            <v>1074</v>
          </cell>
        </row>
        <row r="105">
          <cell r="A105" t="str">
            <v>sodium chloride</v>
          </cell>
          <cell r="E105">
            <v>1074.1500000000001</v>
          </cell>
        </row>
        <row r="106">
          <cell r="A106" t="str">
            <v>potassium chloride</v>
          </cell>
          <cell r="E106">
            <v>1044.1500000000001</v>
          </cell>
        </row>
        <row r="107">
          <cell r="A107" t="str">
            <v>lithium chloride</v>
          </cell>
          <cell r="E107">
            <v>883.15</v>
          </cell>
        </row>
        <row r="108">
          <cell r="A108" t="str">
            <v>lithium chloride</v>
          </cell>
          <cell r="E108">
            <v>886.15</v>
          </cell>
        </row>
        <row r="109">
          <cell r="A109" t="str">
            <v>lithium borohydride</v>
          </cell>
          <cell r="E109">
            <v>559.15</v>
          </cell>
        </row>
        <row r="110">
          <cell r="A110" t="str">
            <v>sodium borohydride</v>
          </cell>
          <cell r="E110">
            <v>673.15</v>
          </cell>
        </row>
        <row r="111">
          <cell r="A111" t="str">
            <v>potassium borohydride</v>
          </cell>
          <cell r="E111">
            <v>878.15</v>
          </cell>
        </row>
        <row r="112">
          <cell r="A112" t="str">
            <v>tetramethylammonium chloride</v>
          </cell>
          <cell r="E112">
            <v>612.87</v>
          </cell>
        </row>
        <row r="113">
          <cell r="A113" t="str">
            <v>tetraethylammonium chloride</v>
          </cell>
          <cell r="E113">
            <v>535.4</v>
          </cell>
        </row>
        <row r="114">
          <cell r="A114" t="str">
            <v>tetrapropylammonium chloride</v>
          </cell>
          <cell r="E114">
            <v>502.4</v>
          </cell>
        </row>
        <row r="115">
          <cell r="A115" t="str">
            <v>tetrabutylammonium chloride</v>
          </cell>
          <cell r="E115">
            <v>342.82</v>
          </cell>
        </row>
        <row r="116">
          <cell r="A116" t="str">
            <v>tetraethylammonium bromide</v>
          </cell>
          <cell r="E116">
            <v>633</v>
          </cell>
        </row>
        <row r="117">
          <cell r="A117" t="str">
            <v>tetrapropylammonium bromide</v>
          </cell>
          <cell r="E117">
            <v>583</v>
          </cell>
        </row>
        <row r="118">
          <cell r="A118" t="str">
            <v>tetrabutylammonium bromide</v>
          </cell>
          <cell r="E118">
            <v>390.8</v>
          </cell>
        </row>
        <row r="119">
          <cell r="A119" t="str">
            <v>tetrapentylammonium bromide</v>
          </cell>
          <cell r="E119">
            <v>375.9</v>
          </cell>
        </row>
        <row r="120">
          <cell r="A120" t="str">
            <v>tetrahexylammonium bromide</v>
          </cell>
          <cell r="E120">
            <v>370.6</v>
          </cell>
        </row>
        <row r="121">
          <cell r="A121" t="str">
            <v>lithium chloride</v>
          </cell>
          <cell r="E121">
            <v>874.15</v>
          </cell>
        </row>
        <row r="122">
          <cell r="A122" t="str">
            <v>potassium chloride</v>
          </cell>
          <cell r="E122">
            <v>1046.1500000000001</v>
          </cell>
        </row>
        <row r="123">
          <cell r="A123" t="str">
            <v>rubidium chloride</v>
          </cell>
          <cell r="E123">
            <v>982.15</v>
          </cell>
        </row>
        <row r="124">
          <cell r="A124" t="str">
            <v>cesium chloride</v>
          </cell>
          <cell r="E124">
            <v>918.15</v>
          </cell>
        </row>
        <row r="125">
          <cell r="A125" t="str">
            <v>sodium nitrate</v>
          </cell>
          <cell r="E125">
            <v>589.15</v>
          </cell>
        </row>
        <row r="126">
          <cell r="A126" t="str">
            <v>potassium nitrate</v>
          </cell>
          <cell r="E126">
            <v>612.15</v>
          </cell>
        </row>
        <row r="127">
          <cell r="A127" t="str">
            <v>calcium nitrate</v>
          </cell>
          <cell r="E127">
            <v>823.15</v>
          </cell>
        </row>
        <row r="128">
          <cell r="A128" t="str">
            <v>sodium chloride</v>
          </cell>
          <cell r="E128">
            <v>1074.1500000000001</v>
          </cell>
        </row>
        <row r="129">
          <cell r="A129" t="str">
            <v>tetrabutylammonium borohydride</v>
          </cell>
          <cell r="E129">
            <v>402.15</v>
          </cell>
        </row>
        <row r="130">
          <cell r="A130" t="str">
            <v>ammonia borane</v>
          </cell>
          <cell r="E130">
            <v>377.15</v>
          </cell>
        </row>
        <row r="131">
          <cell r="A131" t="str">
            <v>ammonia borane</v>
          </cell>
          <cell r="E131">
            <v>391.15</v>
          </cell>
        </row>
        <row r="132">
          <cell r="A132" t="str">
            <v>methylamine borane</v>
          </cell>
          <cell r="E132">
            <v>331.15</v>
          </cell>
        </row>
        <row r="133">
          <cell r="A133" t="str">
            <v>dimethylamine borane</v>
          </cell>
          <cell r="E133">
            <v>310.14999999999998</v>
          </cell>
        </row>
        <row r="134">
          <cell r="A134" t="str">
            <v>trimethylamine borane</v>
          </cell>
          <cell r="E134">
            <v>366.65</v>
          </cell>
        </row>
        <row r="135">
          <cell r="A135" t="str">
            <v>tert-butylamine borane</v>
          </cell>
          <cell r="E135">
            <v>369.15</v>
          </cell>
        </row>
        <row r="136">
          <cell r="A136" t="str">
            <v>butylamine borane</v>
          </cell>
          <cell r="E136">
            <v>243.24999999999997</v>
          </cell>
        </row>
        <row r="137">
          <cell r="A137" t="str">
            <v>hexylamine borane</v>
          </cell>
          <cell r="E137">
            <v>281.64999999999998</v>
          </cell>
        </row>
        <row r="138">
          <cell r="A138" t="str">
            <v>octylamine borane</v>
          </cell>
          <cell r="E138">
            <v>307.84999999999997</v>
          </cell>
        </row>
        <row r="139">
          <cell r="A139" t="str">
            <v>decylamine borane</v>
          </cell>
          <cell r="E139">
            <v>323.04999999999995</v>
          </cell>
        </row>
        <row r="140">
          <cell r="A140" t="str">
            <v>dodecylamine borane</v>
          </cell>
          <cell r="E140">
            <v>333.84999999999997</v>
          </cell>
        </row>
        <row r="141">
          <cell r="A141" t="str">
            <v>tetradecylamine borane</v>
          </cell>
          <cell r="E141">
            <v>342.45</v>
          </cell>
        </row>
        <row r="142">
          <cell r="A142" t="str">
            <v>tetramethylammonium borohydride</v>
          </cell>
          <cell r="E142">
            <v>503.15</v>
          </cell>
        </row>
        <row r="143">
          <cell r="A143" t="str">
            <v>tetramethylammonium borohydride</v>
          </cell>
          <cell r="E143">
            <v>508.15</v>
          </cell>
        </row>
      </sheetData>
      <sheetData sheetId="3">
        <row r="1">
          <cell r="A1" t="str">
            <v>Chemical</v>
          </cell>
          <cell r="E1" t="str">
            <v>Standard Value</v>
          </cell>
        </row>
        <row r="2">
          <cell r="A2" t="str">
            <v>tetrabutylammonium bromide</v>
          </cell>
          <cell r="E2">
            <v>16.149999999999999</v>
          </cell>
        </row>
        <row r="3">
          <cell r="A3" t="str">
            <v>tetrabutylammonium chloride</v>
          </cell>
          <cell r="E3">
            <v>20.501600000000003</v>
          </cell>
        </row>
        <row r="4">
          <cell r="A4" t="str">
            <v>tetrapentylammonium chloride</v>
          </cell>
          <cell r="E4">
            <v>1.29704</v>
          </cell>
        </row>
        <row r="5">
          <cell r="A5" t="str">
            <v>tetrabutylammonium bromide</v>
          </cell>
          <cell r="E5">
            <v>15.480800000000002</v>
          </cell>
        </row>
        <row r="6">
          <cell r="A6" t="str">
            <v>tetrapentylammonium bromide</v>
          </cell>
          <cell r="E6">
            <v>41.421600000000005</v>
          </cell>
        </row>
        <row r="7">
          <cell r="A7" t="str">
            <v>tetrahexylammonium bromide</v>
          </cell>
          <cell r="E7">
            <v>15.8992</v>
          </cell>
        </row>
        <row r="8">
          <cell r="A8" t="str">
            <v>tetrabutylammonium iodide</v>
          </cell>
          <cell r="E8">
            <v>9.6231999999999989</v>
          </cell>
        </row>
        <row r="9">
          <cell r="A9" t="str">
            <v>tetrapentylammonium iodide</v>
          </cell>
          <cell r="E9">
            <v>39.329600000000006</v>
          </cell>
        </row>
        <row r="10">
          <cell r="A10" t="str">
            <v>tetramethylammonium nitrate</v>
          </cell>
          <cell r="E10">
            <v>37.200000000000003</v>
          </cell>
        </row>
        <row r="11">
          <cell r="A11" t="str">
            <v>tetrabutylammonium nitrate</v>
          </cell>
          <cell r="E11">
            <v>14.3</v>
          </cell>
        </row>
        <row r="12">
          <cell r="A12" t="str">
            <v>tetrabutylammonium nitrate</v>
          </cell>
          <cell r="E12">
            <v>15.6</v>
          </cell>
        </row>
        <row r="13">
          <cell r="A13" t="str">
            <v>tetraethylammonium bromide</v>
          </cell>
          <cell r="E13">
            <v>20.3</v>
          </cell>
        </row>
        <row r="14">
          <cell r="A14" t="str">
            <v>tetramethylammonium chloride</v>
          </cell>
          <cell r="E14">
            <v>20.49</v>
          </cell>
        </row>
        <row r="15">
          <cell r="A15" t="str">
            <v>tetraethylammonium chloride</v>
          </cell>
          <cell r="E15">
            <v>51.24</v>
          </cell>
        </row>
        <row r="16">
          <cell r="A16" t="str">
            <v>tetrapropylammonium chloride</v>
          </cell>
          <cell r="E16">
            <v>66.58</v>
          </cell>
        </row>
        <row r="17">
          <cell r="A17" t="str">
            <v>ammonia</v>
          </cell>
          <cell r="E17">
            <v>5.6529999999999996</v>
          </cell>
        </row>
        <row r="18">
          <cell r="A18" t="str">
            <v>methyl bromide</v>
          </cell>
          <cell r="E18">
            <v>5.98</v>
          </cell>
        </row>
        <row r="19">
          <cell r="A19" t="str">
            <v>methyl chloride</v>
          </cell>
          <cell r="E19">
            <v>6.431</v>
          </cell>
        </row>
        <row r="20">
          <cell r="A20" t="str">
            <v>methyl chloride</v>
          </cell>
          <cell r="E20">
            <v>6.42</v>
          </cell>
        </row>
        <row r="21">
          <cell r="A21" t="str">
            <v>methyl iodide</v>
          </cell>
          <cell r="E21">
            <v>9.1199999999999992</v>
          </cell>
        </row>
        <row r="22">
          <cell r="A22" t="str">
            <v>ethyl chloride</v>
          </cell>
          <cell r="E22">
            <v>4.452</v>
          </cell>
        </row>
        <row r="23">
          <cell r="A23" t="str">
            <v>ethyl chloride</v>
          </cell>
          <cell r="E23">
            <v>4.45</v>
          </cell>
        </row>
        <row r="24">
          <cell r="A24" t="str">
            <v>methane</v>
          </cell>
          <cell r="E24">
            <v>0.93920000000000003</v>
          </cell>
        </row>
        <row r="25">
          <cell r="A25" t="str">
            <v>ethane</v>
          </cell>
          <cell r="E25">
            <v>2.79</v>
          </cell>
        </row>
        <row r="26">
          <cell r="A26" t="str">
            <v>ethane</v>
          </cell>
          <cell r="E26">
            <v>2.8570000000000002</v>
          </cell>
        </row>
        <row r="27">
          <cell r="A27" t="str">
            <v>ethane</v>
          </cell>
          <cell r="E27">
            <v>2.7930000000000001</v>
          </cell>
        </row>
        <row r="28">
          <cell r="A28" t="str">
            <v>methylamine</v>
          </cell>
          <cell r="E28">
            <v>6.1340000000000003</v>
          </cell>
        </row>
        <row r="29">
          <cell r="A29" t="str">
            <v>methylamine</v>
          </cell>
          <cell r="E29">
            <v>6.13</v>
          </cell>
        </row>
        <row r="30">
          <cell r="A30" t="str">
            <v>propylamine</v>
          </cell>
          <cell r="E30">
            <v>10.9742</v>
          </cell>
        </row>
        <row r="31">
          <cell r="A31" t="str">
            <v>propylamine</v>
          </cell>
          <cell r="E31">
            <v>10.97</v>
          </cell>
        </row>
        <row r="32">
          <cell r="A32" t="str">
            <v>propylamine</v>
          </cell>
          <cell r="E32">
            <v>10.625</v>
          </cell>
        </row>
        <row r="33">
          <cell r="A33" t="str">
            <v>dimethylamine</v>
          </cell>
          <cell r="E33">
            <v>5.9409999999999998</v>
          </cell>
        </row>
        <row r="34">
          <cell r="A34" t="str">
            <v>dimethylamine</v>
          </cell>
          <cell r="E34">
            <v>5.94</v>
          </cell>
        </row>
        <row r="35">
          <cell r="A35" t="str">
            <v>trimethylamine</v>
          </cell>
          <cell r="E35">
            <v>6.5439999999999996</v>
          </cell>
        </row>
        <row r="36">
          <cell r="A36" t="str">
            <v>trimethylamine</v>
          </cell>
          <cell r="E36">
            <v>6.54</v>
          </cell>
        </row>
        <row r="37">
          <cell r="A37" t="str">
            <v>acetonitrile</v>
          </cell>
          <cell r="E37">
            <v>8.17</v>
          </cell>
        </row>
        <row r="38">
          <cell r="A38" t="str">
            <v>propanenitrile</v>
          </cell>
          <cell r="E38">
            <v>5.03</v>
          </cell>
        </row>
        <row r="39">
          <cell r="A39" t="str">
            <v>benzonitrile</v>
          </cell>
          <cell r="E39">
            <v>10.98</v>
          </cell>
        </row>
        <row r="40">
          <cell r="A40" t="str">
            <v>benzonitrile</v>
          </cell>
          <cell r="E40">
            <v>10.98</v>
          </cell>
        </row>
        <row r="41">
          <cell r="A41" t="str">
            <v>benzonitrile</v>
          </cell>
          <cell r="E41">
            <v>10.98</v>
          </cell>
        </row>
        <row r="42">
          <cell r="A42" t="str">
            <v>benzonitrile</v>
          </cell>
          <cell r="E42">
            <v>10.98</v>
          </cell>
        </row>
        <row r="43">
          <cell r="A43" t="str">
            <v>cyanogen</v>
          </cell>
          <cell r="E43">
            <v>8.109</v>
          </cell>
        </row>
        <row r="44">
          <cell r="A44" t="str">
            <v>cyanogen</v>
          </cell>
          <cell r="E44">
            <v>8.11</v>
          </cell>
        </row>
        <row r="45">
          <cell r="A45" t="str">
            <v>monomethylhydrazine</v>
          </cell>
          <cell r="E45">
            <v>10.417999999999999</v>
          </cell>
        </row>
        <row r="46">
          <cell r="A46" t="str">
            <v>monomethylhydrazine</v>
          </cell>
          <cell r="E46">
            <v>10.42</v>
          </cell>
        </row>
        <row r="47">
          <cell r="A47" t="str">
            <v>dimethylhydrazine</v>
          </cell>
          <cell r="E47">
            <v>10.0726</v>
          </cell>
        </row>
        <row r="48">
          <cell r="A48" t="str">
            <v>dimethylhydrazine</v>
          </cell>
          <cell r="E48">
            <v>10.07</v>
          </cell>
        </row>
        <row r="49">
          <cell r="A49" t="str">
            <v>dinitrogen tetroxide</v>
          </cell>
          <cell r="E49">
            <v>14.65</v>
          </cell>
        </row>
        <row r="50">
          <cell r="A50" t="str">
            <v>dioxygen</v>
          </cell>
          <cell r="E50">
            <v>0.44400000000000001</v>
          </cell>
        </row>
        <row r="51">
          <cell r="A51" t="str">
            <v>dioxygen</v>
          </cell>
          <cell r="E51">
            <v>0.44</v>
          </cell>
        </row>
        <row r="52">
          <cell r="A52" t="str">
            <v>dinitrogen</v>
          </cell>
          <cell r="E52">
            <v>0.71</v>
          </cell>
        </row>
        <row r="53">
          <cell r="A53" t="str">
            <v>dinitrogen</v>
          </cell>
          <cell r="E53">
            <v>0.72</v>
          </cell>
        </row>
        <row r="54">
          <cell r="A54" t="str">
            <v>dihydrogen</v>
          </cell>
          <cell r="E54">
            <v>0.12</v>
          </cell>
        </row>
        <row r="55">
          <cell r="A55" t="str">
            <v>dihydrogen</v>
          </cell>
          <cell r="E55">
            <v>0.11700000000000001</v>
          </cell>
        </row>
        <row r="56">
          <cell r="A56" t="str">
            <v>dichlorine</v>
          </cell>
          <cell r="E56">
            <v>6.4059999999999997</v>
          </cell>
        </row>
        <row r="57">
          <cell r="A57" t="str">
            <v>dichlorine</v>
          </cell>
          <cell r="E57">
            <v>6.4</v>
          </cell>
        </row>
        <row r="58">
          <cell r="A58" t="str">
            <v>carbon</v>
          </cell>
          <cell r="E58">
            <v>117</v>
          </cell>
        </row>
        <row r="59">
          <cell r="A59" t="str">
            <v>carbon</v>
          </cell>
          <cell r="E59">
            <v>117</v>
          </cell>
        </row>
        <row r="60">
          <cell r="A60" t="str">
            <v>lithium</v>
          </cell>
          <cell r="E60">
            <v>3</v>
          </cell>
        </row>
        <row r="61">
          <cell r="A61" t="str">
            <v>lithium</v>
          </cell>
          <cell r="E61">
            <v>3</v>
          </cell>
        </row>
        <row r="62">
          <cell r="A62" t="str">
            <v>lithium</v>
          </cell>
          <cell r="E62">
            <v>3</v>
          </cell>
        </row>
        <row r="63">
          <cell r="A63" t="str">
            <v>boron</v>
          </cell>
          <cell r="E63">
            <v>50.2</v>
          </cell>
        </row>
        <row r="64">
          <cell r="A64" t="str">
            <v>boron</v>
          </cell>
          <cell r="E64">
            <v>50.2</v>
          </cell>
        </row>
        <row r="65">
          <cell r="A65" t="str">
            <v>boron</v>
          </cell>
          <cell r="E65">
            <v>50</v>
          </cell>
        </row>
        <row r="66">
          <cell r="A66" t="str">
            <v>sodium</v>
          </cell>
          <cell r="E66">
            <v>2.6</v>
          </cell>
        </row>
        <row r="67">
          <cell r="A67" t="str">
            <v>sodium</v>
          </cell>
          <cell r="E67">
            <v>2.6</v>
          </cell>
        </row>
        <row r="68">
          <cell r="A68" t="str">
            <v>sodium</v>
          </cell>
          <cell r="E68">
            <v>2.6</v>
          </cell>
        </row>
        <row r="69">
          <cell r="A69" t="str">
            <v>sulfur</v>
          </cell>
          <cell r="E69">
            <v>1.72</v>
          </cell>
        </row>
        <row r="70">
          <cell r="A70" t="str">
            <v>sulfur</v>
          </cell>
          <cell r="E70">
            <v>1.7270000000000001</v>
          </cell>
        </row>
        <row r="71">
          <cell r="A71" t="str">
            <v>sulfur</v>
          </cell>
          <cell r="E71">
            <v>1.73</v>
          </cell>
        </row>
        <row r="72">
          <cell r="A72" t="str">
            <v>potassium</v>
          </cell>
          <cell r="E72">
            <v>2.33</v>
          </cell>
        </row>
        <row r="73">
          <cell r="A73" t="str">
            <v>potassium</v>
          </cell>
          <cell r="E73">
            <v>2.3210000000000002</v>
          </cell>
        </row>
        <row r="74">
          <cell r="A74" t="str">
            <v>potassium</v>
          </cell>
          <cell r="E74">
            <v>2.33</v>
          </cell>
        </row>
        <row r="75">
          <cell r="A75" t="str">
            <v>calcium</v>
          </cell>
          <cell r="E75">
            <v>8.5399999999999991</v>
          </cell>
        </row>
        <row r="76">
          <cell r="A76" t="str">
            <v>calcium</v>
          </cell>
          <cell r="E76">
            <v>8.5399999999999991</v>
          </cell>
        </row>
        <row r="77">
          <cell r="A77" t="str">
            <v>calcium</v>
          </cell>
          <cell r="E77">
            <v>8.5399999999999991</v>
          </cell>
        </row>
        <row r="78">
          <cell r="A78" t="str">
            <v>sodium chloride</v>
          </cell>
          <cell r="E78">
            <v>30.388680025600006</v>
          </cell>
        </row>
        <row r="79">
          <cell r="A79" t="str">
            <v>lithium chloride</v>
          </cell>
          <cell r="E79">
            <v>19.899999999999999</v>
          </cell>
        </row>
        <row r="80">
          <cell r="A80" t="str">
            <v>lithium borohydride</v>
          </cell>
          <cell r="E80">
            <v>7.14</v>
          </cell>
        </row>
        <row r="81">
          <cell r="A81" t="str">
            <v>sodium borohydride</v>
          </cell>
          <cell r="E81">
            <v>16</v>
          </cell>
        </row>
        <row r="82">
          <cell r="A82" t="str">
            <v>potassium borohydride</v>
          </cell>
          <cell r="E82">
            <v>19.2</v>
          </cell>
        </row>
        <row r="83">
          <cell r="A83" t="str">
            <v>tetramethylammonium chloride</v>
          </cell>
          <cell r="E83">
            <v>20.49</v>
          </cell>
        </row>
        <row r="84">
          <cell r="A84" t="str">
            <v>tetraethylammonium chloride</v>
          </cell>
          <cell r="E84">
            <v>51.24</v>
          </cell>
        </row>
        <row r="85">
          <cell r="A85" t="str">
            <v>tetrapropylammonium chloride</v>
          </cell>
          <cell r="E85">
            <v>66.58</v>
          </cell>
        </row>
        <row r="86">
          <cell r="A86" t="str">
            <v>tetrabutylammonium chloride</v>
          </cell>
          <cell r="E86">
            <v>19.43</v>
          </cell>
        </row>
        <row r="87">
          <cell r="A87" t="str">
            <v>tetraethylammonium bromide</v>
          </cell>
          <cell r="E87">
            <v>13.9</v>
          </cell>
        </row>
        <row r="88">
          <cell r="A88" t="str">
            <v>tetrapropylammonium bromide</v>
          </cell>
          <cell r="E88">
            <v>7.3</v>
          </cell>
        </row>
        <row r="89">
          <cell r="A89" t="str">
            <v>tetrabutylammonium bromide</v>
          </cell>
          <cell r="E89">
            <v>10</v>
          </cell>
        </row>
        <row r="90">
          <cell r="A90" t="str">
            <v>tetrapentylammonium bromide</v>
          </cell>
          <cell r="E90">
            <v>40.1</v>
          </cell>
        </row>
        <row r="91">
          <cell r="A91" t="str">
            <v>tetrahexylammonium bromide</v>
          </cell>
          <cell r="E91">
            <v>11.6</v>
          </cell>
        </row>
        <row r="92">
          <cell r="A92" t="str">
            <v>potassium chloride</v>
          </cell>
          <cell r="E92">
            <v>26.317360000000001</v>
          </cell>
        </row>
        <row r="93">
          <cell r="A93" t="str">
            <v>tetrabutylammonium borohydride</v>
          </cell>
          <cell r="E93">
            <v>17.8</v>
          </cell>
        </row>
        <row r="94">
          <cell r="A94" t="str">
            <v>tetrabutylammonium borohydride</v>
          </cell>
          <cell r="E94">
            <v>15.8</v>
          </cell>
        </row>
        <row r="95">
          <cell r="A95" t="str">
            <v>tetrabutylammonium tetrakis(borohydride)yttreate(III)</v>
          </cell>
          <cell r="E95">
            <v>16.399999999999999</v>
          </cell>
        </row>
        <row r="96">
          <cell r="A96" t="str">
            <v>ammonia borane</v>
          </cell>
          <cell r="E96">
            <v>3.2</v>
          </cell>
        </row>
        <row r="97">
          <cell r="A97" t="str">
            <v>ammonia borane</v>
          </cell>
          <cell r="E97">
            <v>2.4</v>
          </cell>
        </row>
        <row r="98">
          <cell r="A98" t="str">
            <v>methylamine borane</v>
          </cell>
          <cell r="E98">
            <v>8.5</v>
          </cell>
        </row>
        <row r="99">
          <cell r="A99" t="str">
            <v>methylamine borane</v>
          </cell>
          <cell r="E99">
            <v>11.9</v>
          </cell>
        </row>
        <row r="100">
          <cell r="A100" t="str">
            <v>butylamine borane</v>
          </cell>
          <cell r="E100">
            <v>10.9</v>
          </cell>
        </row>
        <row r="101">
          <cell r="A101" t="str">
            <v>hexylamine borane</v>
          </cell>
          <cell r="E101">
            <v>15.4</v>
          </cell>
        </row>
        <row r="102">
          <cell r="A102" t="str">
            <v>octylamine borane</v>
          </cell>
          <cell r="E102">
            <v>23.6</v>
          </cell>
        </row>
        <row r="103">
          <cell r="A103" t="str">
            <v>decylamine borane</v>
          </cell>
          <cell r="E103">
            <v>30.7</v>
          </cell>
        </row>
        <row r="104">
          <cell r="A104" t="str">
            <v>dodecylamine borane</v>
          </cell>
          <cell r="E104">
            <v>39.6</v>
          </cell>
        </row>
        <row r="105">
          <cell r="A105" t="str">
            <v>tetradecylamine borane</v>
          </cell>
          <cell r="E105">
            <v>48.1</v>
          </cell>
        </row>
      </sheetData>
      <sheetData sheetId="4">
        <row r="1">
          <cell r="A1" t="str">
            <v>Chemical</v>
          </cell>
          <cell r="E1" t="str">
            <v>Standard Value</v>
          </cell>
        </row>
        <row r="2">
          <cell r="A2" t="str">
            <v>tetramethylammonium chloride</v>
          </cell>
          <cell r="E2">
            <v>-276</v>
          </cell>
        </row>
        <row r="3">
          <cell r="A3" t="str">
            <v>tetramethylammonium chloride</v>
          </cell>
          <cell r="E3">
            <v>-272</v>
          </cell>
        </row>
        <row r="4">
          <cell r="A4" t="str">
            <v>tetramethylammonium chloride</v>
          </cell>
          <cell r="E4">
            <v>-276.39999999999998</v>
          </cell>
        </row>
        <row r="5">
          <cell r="A5" t="str">
            <v>tetramethylammonium bromide</v>
          </cell>
          <cell r="E5">
            <v>-251.5</v>
          </cell>
        </row>
        <row r="6">
          <cell r="A6" t="str">
            <v>tetramethylammonium bromide</v>
          </cell>
          <cell r="E6">
            <v>-268</v>
          </cell>
        </row>
        <row r="7">
          <cell r="A7" t="str">
            <v>tetramethylammonium bromide</v>
          </cell>
          <cell r="E7">
            <v>-251</v>
          </cell>
        </row>
        <row r="8">
          <cell r="A8" t="str">
            <v>tetramethylammonium iodide</v>
          </cell>
          <cell r="E8">
            <v>-203.5</v>
          </cell>
        </row>
        <row r="9">
          <cell r="A9" t="str">
            <v>tetramethylammonium iodide</v>
          </cell>
          <cell r="E9">
            <v>-190</v>
          </cell>
        </row>
        <row r="10">
          <cell r="A10" t="str">
            <v>tetramethylammonium iodide</v>
          </cell>
          <cell r="E10">
            <v>-203.9</v>
          </cell>
        </row>
        <row r="11">
          <cell r="A11" t="str">
            <v>tetraethylammonium chloride</v>
          </cell>
          <cell r="E11">
            <v>-400.8</v>
          </cell>
        </row>
        <row r="12">
          <cell r="A12" t="str">
            <v>tetraethylammonium chloride</v>
          </cell>
          <cell r="E12">
            <v>-414</v>
          </cell>
        </row>
        <row r="13">
          <cell r="A13" t="str">
            <v>tetraethylammonium chloride</v>
          </cell>
          <cell r="E13">
            <v>-401</v>
          </cell>
        </row>
        <row r="14">
          <cell r="A14" t="str">
            <v>tetraethylammonium chloride</v>
          </cell>
          <cell r="E14">
            <v>-369.4</v>
          </cell>
        </row>
        <row r="15">
          <cell r="A15" t="str">
            <v>tetraethylammonium bromide</v>
          </cell>
          <cell r="E15">
            <v>-374.1</v>
          </cell>
        </row>
        <row r="16">
          <cell r="A16" t="str">
            <v>tetraethylammonium bromide</v>
          </cell>
          <cell r="E16">
            <v>-377</v>
          </cell>
        </row>
        <row r="17">
          <cell r="A17" t="str">
            <v>tetraethylammonium bromide</v>
          </cell>
          <cell r="E17">
            <v>-360</v>
          </cell>
        </row>
        <row r="18">
          <cell r="A18" t="str">
            <v>tetraethylammonium bromide</v>
          </cell>
          <cell r="E18">
            <v>-342.7</v>
          </cell>
        </row>
        <row r="19">
          <cell r="A19" t="str">
            <v>tetraethylammonium iodide</v>
          </cell>
          <cell r="E19">
            <v>-331.5</v>
          </cell>
        </row>
        <row r="20">
          <cell r="A20" t="str">
            <v>tetraethylammonium iodide</v>
          </cell>
          <cell r="E20">
            <v>-317</v>
          </cell>
        </row>
        <row r="21">
          <cell r="A21" t="str">
            <v>tetraethylammonium iodide</v>
          </cell>
          <cell r="E21">
            <v>-316</v>
          </cell>
        </row>
        <row r="22">
          <cell r="A22" t="str">
            <v>tetraethylammonium iodide</v>
          </cell>
          <cell r="E22">
            <v>-300.2</v>
          </cell>
        </row>
        <row r="23">
          <cell r="A23" t="str">
            <v>tetrapropylammonium chloride</v>
          </cell>
          <cell r="E23">
            <v>-500</v>
          </cell>
        </row>
        <row r="24">
          <cell r="A24" t="str">
            <v>tetrapropylammonium chloride</v>
          </cell>
          <cell r="E24">
            <v>-475</v>
          </cell>
        </row>
        <row r="25">
          <cell r="A25" t="str">
            <v>tetrapropylammonium bromide</v>
          </cell>
          <cell r="E25">
            <v>-442</v>
          </cell>
        </row>
        <row r="26">
          <cell r="A26" t="str">
            <v>tetrapropylammonium iodide</v>
          </cell>
          <cell r="E26">
            <v>-395</v>
          </cell>
        </row>
        <row r="27">
          <cell r="A27" t="str">
            <v>tetrabutylammonium chloride</v>
          </cell>
          <cell r="E27">
            <v>-534</v>
          </cell>
        </row>
        <row r="28">
          <cell r="A28" t="str">
            <v>tetrabutylammonium chloride</v>
          </cell>
          <cell r="E28">
            <v>-564.79999999999995</v>
          </cell>
        </row>
        <row r="29">
          <cell r="A29" t="str">
            <v>tetrabutylammonium bromide</v>
          </cell>
          <cell r="E29">
            <v>-415</v>
          </cell>
        </row>
        <row r="30">
          <cell r="A30" t="str">
            <v>tetrabutylammonium bromide</v>
          </cell>
          <cell r="E30">
            <v>-540.29999999999995</v>
          </cell>
        </row>
        <row r="31">
          <cell r="A31" t="str">
            <v>tetrabutylammonium iodide</v>
          </cell>
          <cell r="E31">
            <v>-460</v>
          </cell>
        </row>
        <row r="32">
          <cell r="A32" t="str">
            <v>tetrabutylammonium iodide</v>
          </cell>
          <cell r="E32">
            <v>-498.6</v>
          </cell>
        </row>
        <row r="33">
          <cell r="A33" t="str">
            <v>tetramethylammonium nitrate</v>
          </cell>
          <cell r="E33">
            <v>-331</v>
          </cell>
        </row>
        <row r="34">
          <cell r="A34" t="str">
            <v>tetramethylammonium nitrate</v>
          </cell>
          <cell r="E34">
            <v>-331.8</v>
          </cell>
        </row>
        <row r="35">
          <cell r="A35" t="str">
            <v>tetramethylammonium nitrate</v>
          </cell>
          <cell r="E35">
            <v>-328.5</v>
          </cell>
        </row>
        <row r="36">
          <cell r="A36" t="str">
            <v>tetramethylammonium nitrate</v>
          </cell>
          <cell r="E36">
            <v>-330.3</v>
          </cell>
        </row>
        <row r="37">
          <cell r="A37" t="str">
            <v>tetraethylammonium nitrate</v>
          </cell>
          <cell r="E37">
            <v>-428.5</v>
          </cell>
        </row>
        <row r="38">
          <cell r="A38" t="str">
            <v>tetraethylammonium nitrate</v>
          </cell>
          <cell r="E38">
            <v>-433</v>
          </cell>
        </row>
        <row r="39">
          <cell r="A39" t="str">
            <v>tetraethylammonium nitrate</v>
          </cell>
          <cell r="E39">
            <v>-431</v>
          </cell>
        </row>
        <row r="40">
          <cell r="A40" t="str">
            <v>tetrabutylammonium nitrate</v>
          </cell>
          <cell r="E40">
            <v>-600.20000000000005</v>
          </cell>
        </row>
        <row r="41">
          <cell r="A41" t="str">
            <v>ammonia</v>
          </cell>
          <cell r="E41">
            <v>-45.94</v>
          </cell>
        </row>
        <row r="42">
          <cell r="A42" t="str">
            <v>ammonia</v>
          </cell>
          <cell r="E42">
            <v>-45.9</v>
          </cell>
        </row>
        <row r="43">
          <cell r="A43" t="str">
            <v>methyl bromide</v>
          </cell>
          <cell r="E43">
            <v>-60.6</v>
          </cell>
        </row>
        <row r="44">
          <cell r="A44" t="str">
            <v>methyl chloride</v>
          </cell>
          <cell r="E44">
            <v>-102.4</v>
          </cell>
        </row>
        <row r="45">
          <cell r="A45" t="str">
            <v>methyl iodide</v>
          </cell>
          <cell r="E45">
            <v>-13.6</v>
          </cell>
        </row>
        <row r="46">
          <cell r="A46" t="str">
            <v>methyl iodide</v>
          </cell>
          <cell r="E46">
            <v>-12</v>
          </cell>
        </row>
        <row r="47">
          <cell r="A47" t="str">
            <v>ethyl bromide</v>
          </cell>
          <cell r="E47">
            <v>-95.5</v>
          </cell>
        </row>
        <row r="48">
          <cell r="A48" t="str">
            <v>ethyl chloride</v>
          </cell>
          <cell r="E48">
            <v>-137</v>
          </cell>
        </row>
        <row r="49">
          <cell r="A49" t="str">
            <v>ethyl iodide</v>
          </cell>
          <cell r="E49">
            <v>-39.1</v>
          </cell>
        </row>
        <row r="50">
          <cell r="A50" t="str">
            <v>ethyl iodide</v>
          </cell>
          <cell r="E50">
            <v>-39.5</v>
          </cell>
        </row>
        <row r="51">
          <cell r="A51" t="str">
            <v>ethyl iodide</v>
          </cell>
          <cell r="E51">
            <v>-35</v>
          </cell>
        </row>
        <row r="52">
          <cell r="A52" t="str">
            <v>methane</v>
          </cell>
          <cell r="E52">
            <v>-74.87</v>
          </cell>
        </row>
        <row r="53">
          <cell r="A53" t="str">
            <v>methane</v>
          </cell>
          <cell r="E53">
            <v>-74.599999999999994</v>
          </cell>
        </row>
        <row r="54">
          <cell r="A54" t="str">
            <v>methane</v>
          </cell>
          <cell r="E54">
            <v>-74.5</v>
          </cell>
        </row>
        <row r="55">
          <cell r="A55" t="str">
            <v>methane</v>
          </cell>
          <cell r="E55">
            <v>-74.849999999999994</v>
          </cell>
        </row>
        <row r="56">
          <cell r="A56" t="str">
            <v>methane</v>
          </cell>
          <cell r="E56">
            <v>-73.400000000000006</v>
          </cell>
        </row>
        <row r="57">
          <cell r="A57" t="str">
            <v>ethane</v>
          </cell>
          <cell r="E57">
            <v>-84</v>
          </cell>
        </row>
        <row r="58">
          <cell r="A58" t="str">
            <v>ethane</v>
          </cell>
          <cell r="E58">
            <v>-83.8</v>
          </cell>
        </row>
        <row r="59">
          <cell r="A59" t="str">
            <v>ethane</v>
          </cell>
          <cell r="E59">
            <v>-84.67</v>
          </cell>
        </row>
        <row r="60">
          <cell r="A60" t="str">
            <v>methylamine</v>
          </cell>
          <cell r="E60">
            <v>-23.5</v>
          </cell>
        </row>
        <row r="61">
          <cell r="A61" t="str">
            <v>methylamine</v>
          </cell>
          <cell r="E61">
            <v>-12.2</v>
          </cell>
        </row>
        <row r="62">
          <cell r="A62" t="str">
            <v>propylamine</v>
          </cell>
          <cell r="E62">
            <v>-101.5</v>
          </cell>
        </row>
        <row r="63">
          <cell r="A63" t="str">
            <v>propylamine</v>
          </cell>
          <cell r="E63">
            <v>-138</v>
          </cell>
        </row>
        <row r="64">
          <cell r="A64" t="str">
            <v>dimethylamine</v>
          </cell>
          <cell r="E64">
            <v>-19</v>
          </cell>
        </row>
        <row r="65">
          <cell r="A65" t="str">
            <v>dimethylamine</v>
          </cell>
          <cell r="E65">
            <v>-23.8</v>
          </cell>
        </row>
        <row r="66">
          <cell r="A66" t="str">
            <v>trimethylamine</v>
          </cell>
          <cell r="E66">
            <v>-23.7</v>
          </cell>
        </row>
        <row r="67">
          <cell r="A67" t="str">
            <v>trimethylamine</v>
          </cell>
          <cell r="E67">
            <v>-30.7</v>
          </cell>
        </row>
        <row r="68">
          <cell r="A68" t="str">
            <v>acetonitrile</v>
          </cell>
          <cell r="E68">
            <v>40.56</v>
          </cell>
        </row>
        <row r="69">
          <cell r="A69" t="str">
            <v>acetonitrile</v>
          </cell>
          <cell r="E69">
            <v>31.4</v>
          </cell>
        </row>
        <row r="70">
          <cell r="A70" t="str">
            <v>propanenitrile</v>
          </cell>
          <cell r="E70">
            <v>15.5</v>
          </cell>
        </row>
        <row r="71">
          <cell r="A71" t="str">
            <v>benzonitrile</v>
          </cell>
          <cell r="E71">
            <v>163.19999999999999</v>
          </cell>
        </row>
        <row r="72">
          <cell r="A72" t="str">
            <v>benzonitrile</v>
          </cell>
          <cell r="E72">
            <v>163.19999999999999</v>
          </cell>
        </row>
        <row r="73">
          <cell r="A73" t="str">
            <v>butanenitrile</v>
          </cell>
          <cell r="E73">
            <v>-5.8</v>
          </cell>
        </row>
        <row r="74">
          <cell r="A74" t="str">
            <v>cyanogen</v>
          </cell>
          <cell r="E74">
            <v>309.07</v>
          </cell>
        </row>
        <row r="75">
          <cell r="A75" t="str">
            <v>cyanogen</v>
          </cell>
          <cell r="E75">
            <v>308.89999999999998</v>
          </cell>
        </row>
        <row r="76">
          <cell r="A76" t="str">
            <v>cyanogen</v>
          </cell>
          <cell r="E76">
            <v>263</v>
          </cell>
        </row>
        <row r="77">
          <cell r="A77" t="str">
            <v>cyanogen</v>
          </cell>
          <cell r="E77">
            <v>306.7</v>
          </cell>
        </row>
        <row r="78">
          <cell r="A78" t="str">
            <v>hydrazine</v>
          </cell>
          <cell r="E78">
            <v>50.63</v>
          </cell>
        </row>
        <row r="79">
          <cell r="A79" t="str">
            <v>monomethylhydrazine</v>
          </cell>
          <cell r="E79">
            <v>54.14</v>
          </cell>
        </row>
        <row r="80">
          <cell r="A80" t="str">
            <v>dimethylhydrazine</v>
          </cell>
          <cell r="E80">
            <v>48.3</v>
          </cell>
        </row>
        <row r="81">
          <cell r="A81" t="str">
            <v>dinitrogen tetroxide</v>
          </cell>
          <cell r="E81">
            <v>9.08</v>
          </cell>
        </row>
        <row r="82">
          <cell r="A82" t="str">
            <v>dioxygen</v>
          </cell>
          <cell r="E82">
            <v>0</v>
          </cell>
        </row>
        <row r="83">
          <cell r="A83" t="str">
            <v>dinitrogen</v>
          </cell>
          <cell r="E83">
            <v>0</v>
          </cell>
        </row>
        <row r="84">
          <cell r="A84" t="str">
            <v>dihydrogen</v>
          </cell>
          <cell r="E84">
            <v>0</v>
          </cell>
        </row>
        <row r="85">
          <cell r="A85" t="str">
            <v>dichlorine</v>
          </cell>
          <cell r="E85">
            <v>0</v>
          </cell>
        </row>
        <row r="86">
          <cell r="A86" t="str">
            <v>carbon</v>
          </cell>
          <cell r="E86">
            <v>0</v>
          </cell>
        </row>
        <row r="87">
          <cell r="A87" t="str">
            <v>lithium</v>
          </cell>
          <cell r="E87">
            <v>0</v>
          </cell>
        </row>
        <row r="88">
          <cell r="A88" t="str">
            <v>boron</v>
          </cell>
          <cell r="E88">
            <v>0</v>
          </cell>
        </row>
        <row r="89">
          <cell r="A89" t="str">
            <v>sodium</v>
          </cell>
          <cell r="E89">
            <v>0</v>
          </cell>
        </row>
        <row r="90">
          <cell r="A90" t="str">
            <v>sulfur</v>
          </cell>
          <cell r="E90">
            <v>0</v>
          </cell>
        </row>
        <row r="91">
          <cell r="A91" t="str">
            <v>potassium</v>
          </cell>
          <cell r="E91">
            <v>0</v>
          </cell>
        </row>
        <row r="92">
          <cell r="A92" t="str">
            <v>calcium</v>
          </cell>
          <cell r="E92">
            <v>0</v>
          </cell>
        </row>
        <row r="93">
          <cell r="A93" t="str">
            <v>sodium chloride</v>
          </cell>
          <cell r="E93">
            <v>-410.9</v>
          </cell>
        </row>
        <row r="94">
          <cell r="A94" t="str">
            <v>sodium chloride</v>
          </cell>
          <cell r="E94">
            <v>-411.12</v>
          </cell>
        </row>
        <row r="95">
          <cell r="A95" t="str">
            <v>potassium chloride</v>
          </cell>
          <cell r="E95">
            <v>-436.68</v>
          </cell>
        </row>
        <row r="96">
          <cell r="A96" t="str">
            <v>lithium chloride</v>
          </cell>
          <cell r="E96">
            <v>-408.6</v>
          </cell>
        </row>
        <row r="97">
          <cell r="A97" t="str">
            <v>lithium borohydride</v>
          </cell>
          <cell r="E97">
            <v>-190.46</v>
          </cell>
        </row>
        <row r="98">
          <cell r="A98" t="str">
            <v>sodium borohydride</v>
          </cell>
          <cell r="E98">
            <v>-191.84</v>
          </cell>
        </row>
        <row r="99">
          <cell r="A99" t="str">
            <v>potassium borohydride</v>
          </cell>
          <cell r="E99">
            <v>-226.9</v>
          </cell>
        </row>
        <row r="100">
          <cell r="A100" t="str">
            <v>ammonia borane</v>
          </cell>
          <cell r="E100">
            <v>-133.4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CF41-2FA5-4790-AC55-DE65A2BCB50A}">
  <dimension ref="A1:F43"/>
  <sheetViews>
    <sheetView topLeftCell="A3" workbookViewId="0">
      <selection activeCell="D14" sqref="D14:F14"/>
    </sheetView>
  </sheetViews>
  <sheetFormatPr defaultRowHeight="15" x14ac:dyDescent="0.25"/>
  <cols>
    <col min="1" max="1" width="37.28515625" bestFit="1" customWidth="1"/>
    <col min="2" max="2" width="8.28515625" bestFit="1" customWidth="1"/>
    <col min="3" max="3" width="32.28515625" bestFit="1" customWidth="1"/>
    <col min="4" max="4" width="12.7109375" bestFit="1" customWidth="1"/>
    <col min="5" max="5" width="13.7109375" bestFit="1" customWidth="1"/>
    <col min="6" max="6" width="25.71093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14</v>
      </c>
      <c r="B2" t="s">
        <v>15</v>
      </c>
      <c r="C2" t="s">
        <v>16</v>
      </c>
      <c r="D2">
        <v>273.14999999999998</v>
      </c>
      <c r="E2">
        <f>334000*(0.018)</f>
        <v>6012</v>
      </c>
      <c r="F2">
        <v>-285802</v>
      </c>
    </row>
    <row r="3" spans="1:6" x14ac:dyDescent="0.25">
      <c r="A3" s="3" t="s">
        <v>11</v>
      </c>
      <c r="B3" t="s">
        <v>12</v>
      </c>
      <c r="C3" t="s">
        <v>18</v>
      </c>
      <c r="D3">
        <f>79+273.15</f>
        <v>352.15</v>
      </c>
      <c r="E3">
        <v>7730</v>
      </c>
      <c r="F3">
        <v>-315890</v>
      </c>
    </row>
    <row r="4" spans="1:6" x14ac:dyDescent="0.25">
      <c r="A4" s="3" t="s">
        <v>6</v>
      </c>
      <c r="B4" t="s">
        <v>7</v>
      </c>
      <c r="C4" t="s">
        <v>9</v>
      </c>
      <c r="D4">
        <f>133+273.15</f>
        <v>406.15</v>
      </c>
      <c r="E4">
        <v>10340</v>
      </c>
      <c r="F4">
        <v>-333330</v>
      </c>
    </row>
    <row r="5" spans="1:6" x14ac:dyDescent="0.25">
      <c r="A5" s="3" t="s">
        <v>13</v>
      </c>
      <c r="C5" t="s">
        <v>20</v>
      </c>
      <c r="D5">
        <v>363.7</v>
      </c>
      <c r="E5">
        <v>12500</v>
      </c>
      <c r="F5">
        <v>49800</v>
      </c>
    </row>
    <row r="6" spans="1:6" x14ac:dyDescent="0.25">
      <c r="A6" s="3" t="s">
        <v>8</v>
      </c>
      <c r="C6" t="s">
        <v>10</v>
      </c>
      <c r="D6">
        <v>283.45999999999998</v>
      </c>
      <c r="E6">
        <v>13800</v>
      </c>
      <c r="F6">
        <v>-507500</v>
      </c>
    </row>
    <row r="7" spans="1:6" x14ac:dyDescent="0.25">
      <c r="A7" s="3" t="s">
        <v>26</v>
      </c>
      <c r="B7" t="s">
        <v>27</v>
      </c>
      <c r="D7" s="4">
        <f>(292+291+293+291.75)/4</f>
        <v>291.9375</v>
      </c>
      <c r="E7">
        <f>(18.303+18.285+18.28+18.476)/4*1000</f>
        <v>18336</v>
      </c>
      <c r="F7">
        <f>(-669.6-668.6)/2</f>
        <v>-669.1</v>
      </c>
    </row>
    <row r="8" spans="1:6" x14ac:dyDescent="0.25">
      <c r="A8" s="3" t="s">
        <v>17</v>
      </c>
      <c r="C8" t="s">
        <v>19</v>
      </c>
      <c r="D8">
        <v>284.2</v>
      </c>
      <c r="E8">
        <v>21830</v>
      </c>
      <c r="F8">
        <v>-63010</v>
      </c>
    </row>
    <row r="10" spans="1:6" x14ac:dyDescent="0.25">
      <c r="A10" s="3" t="s">
        <v>28</v>
      </c>
      <c r="B10" t="s">
        <v>29</v>
      </c>
      <c r="C10" t="s">
        <v>55</v>
      </c>
      <c r="D10">
        <f>(209.1+209.15)/2</f>
        <v>209.125</v>
      </c>
      <c r="E10">
        <f>(17.78+17.795)/2*1000</f>
        <v>17787.5</v>
      </c>
      <c r="F10">
        <f>(-556.4-569.4)/2*1000</f>
        <v>-562900</v>
      </c>
    </row>
    <row r="11" spans="1:6" x14ac:dyDescent="0.25">
      <c r="A11" s="3" t="s">
        <v>32</v>
      </c>
      <c r="C11" t="s">
        <v>56</v>
      </c>
      <c r="D11">
        <f>AVERAGE(228.15,228)</f>
        <v>228.07499999999999</v>
      </c>
      <c r="E11">
        <f>AVERAGE(23.71,23.715)*1000</f>
        <v>23712.5</v>
      </c>
      <c r="F11">
        <v>-687000</v>
      </c>
    </row>
    <row r="12" spans="1:6" x14ac:dyDescent="0.25">
      <c r="A12" s="3" t="s">
        <v>33</v>
      </c>
      <c r="C12" t="s">
        <v>57</v>
      </c>
      <c r="D12">
        <v>243.45</v>
      </c>
      <c r="E12">
        <v>29300</v>
      </c>
      <c r="F12">
        <v>-814000</v>
      </c>
    </row>
    <row r="13" spans="1:6" x14ac:dyDescent="0.25">
      <c r="A13" s="3"/>
    </row>
    <row r="14" spans="1:6" x14ac:dyDescent="0.25">
      <c r="A14" s="3" t="s">
        <v>22</v>
      </c>
      <c r="C14" t="s">
        <v>23</v>
      </c>
      <c r="D14">
        <f>273.15+108</f>
        <v>381.15</v>
      </c>
      <c r="E14">
        <v>14600</v>
      </c>
      <c r="F14">
        <v>-133400</v>
      </c>
    </row>
    <row r="15" spans="1:6" x14ac:dyDescent="0.25">
      <c r="A15" s="3" t="s">
        <v>36</v>
      </c>
      <c r="C15" t="s">
        <v>44</v>
      </c>
      <c r="D15">
        <v>329.15</v>
      </c>
      <c r="E15">
        <v>13800</v>
      </c>
      <c r="F15">
        <v>-158000</v>
      </c>
    </row>
    <row r="16" spans="1:6" x14ac:dyDescent="0.25">
      <c r="A16" t="s">
        <v>42</v>
      </c>
      <c r="C16" t="s">
        <v>48</v>
      </c>
      <c r="D16">
        <v>309.14999999999998</v>
      </c>
      <c r="E16">
        <v>12100</v>
      </c>
      <c r="F16">
        <v>-186000</v>
      </c>
    </row>
    <row r="17" spans="1:6" x14ac:dyDescent="0.25">
      <c r="A17" t="s">
        <v>43</v>
      </c>
      <c r="C17" t="s">
        <v>45</v>
      </c>
      <c r="D17">
        <v>367.15</v>
      </c>
      <c r="E17">
        <v>10500</v>
      </c>
      <c r="F17">
        <v>-218000</v>
      </c>
    </row>
    <row r="18" spans="1:6" x14ac:dyDescent="0.25">
      <c r="A18" s="3" t="s">
        <v>38</v>
      </c>
      <c r="C18" t="s">
        <v>49</v>
      </c>
    </row>
    <row r="19" spans="1:6" x14ac:dyDescent="0.25">
      <c r="A19" s="3" t="s">
        <v>39</v>
      </c>
      <c r="C19" t="s">
        <v>46</v>
      </c>
    </row>
    <row r="20" spans="1:6" x14ac:dyDescent="0.25">
      <c r="A20" s="3" t="s">
        <v>37</v>
      </c>
      <c r="C20" t="s">
        <v>50</v>
      </c>
    </row>
    <row r="21" spans="1:6" x14ac:dyDescent="0.25">
      <c r="A21" s="3"/>
    </row>
    <row r="22" spans="1:6" x14ac:dyDescent="0.25">
      <c r="A22" s="3" t="s">
        <v>24</v>
      </c>
      <c r="C22" t="s">
        <v>51</v>
      </c>
      <c r="D22">
        <f>273.15+286</f>
        <v>559.15</v>
      </c>
      <c r="E22">
        <f>AVERAGE(7.56,6.72)*1000</f>
        <v>7140</v>
      </c>
      <c r="F22">
        <v>-190800</v>
      </c>
    </row>
    <row r="23" spans="1:6" x14ac:dyDescent="0.25">
      <c r="A23" s="3" t="s">
        <v>25</v>
      </c>
      <c r="C23" t="s">
        <v>52</v>
      </c>
      <c r="D23">
        <v>673.15</v>
      </c>
      <c r="E23">
        <f>AVERAGE(16.9,15.1)*1000</f>
        <v>16000</v>
      </c>
    </row>
    <row r="24" spans="1:6" x14ac:dyDescent="0.25">
      <c r="A24" s="3" t="s">
        <v>75</v>
      </c>
      <c r="C24" t="s">
        <v>76</v>
      </c>
      <c r="D24">
        <f>273.15+605</f>
        <v>878.15</v>
      </c>
      <c r="E24">
        <f>AVERAGE(19.2)*1000</f>
        <v>19200</v>
      </c>
    </row>
    <row r="25" spans="1:6" x14ac:dyDescent="0.25">
      <c r="A25" s="3"/>
    </row>
    <row r="26" spans="1:6" x14ac:dyDescent="0.25">
      <c r="A26" s="3" t="s">
        <v>35</v>
      </c>
      <c r="C26" t="s">
        <v>53</v>
      </c>
    </row>
    <row r="27" spans="1:6" x14ac:dyDescent="0.25">
      <c r="A27" s="3" t="s">
        <v>30</v>
      </c>
      <c r="C27" t="s">
        <v>31</v>
      </c>
    </row>
    <row r="28" spans="1:6" x14ac:dyDescent="0.25">
      <c r="A28" s="3" t="s">
        <v>34</v>
      </c>
      <c r="C28" s="5" t="s">
        <v>47</v>
      </c>
    </row>
    <row r="29" spans="1:6" x14ac:dyDescent="0.25">
      <c r="A29" s="3" t="s">
        <v>21</v>
      </c>
      <c r="C29" t="s">
        <v>54</v>
      </c>
      <c r="D29">
        <f>273.15+124</f>
        <v>397.15</v>
      </c>
      <c r="E29">
        <v>15800</v>
      </c>
      <c r="F29">
        <v>-395000</v>
      </c>
    </row>
    <row r="31" spans="1:6" x14ac:dyDescent="0.25">
      <c r="A31" s="3" t="s">
        <v>40</v>
      </c>
      <c r="C31" s="5" t="s">
        <v>47</v>
      </c>
    </row>
    <row r="32" spans="1:6" x14ac:dyDescent="0.25">
      <c r="A32" s="3" t="s">
        <v>41</v>
      </c>
      <c r="C32" s="5" t="s">
        <v>47</v>
      </c>
    </row>
    <row r="33" spans="1:6" x14ac:dyDescent="0.25">
      <c r="A33" s="3"/>
      <c r="C33" s="5"/>
    </row>
    <row r="34" spans="1:6" x14ac:dyDescent="0.25">
      <c r="A34" s="3" t="s">
        <v>74</v>
      </c>
      <c r="C34" s="5"/>
      <c r="D34">
        <v>395</v>
      </c>
      <c r="E34">
        <v>16150</v>
      </c>
    </row>
    <row r="36" spans="1:6" x14ac:dyDescent="0.25">
      <c r="A36" s="3" t="s">
        <v>58</v>
      </c>
      <c r="C36" t="s">
        <v>65</v>
      </c>
      <c r="D36">
        <v>449.7</v>
      </c>
      <c r="E36">
        <v>13597</v>
      </c>
      <c r="F36">
        <v>-89100</v>
      </c>
    </row>
    <row r="37" spans="1:6" x14ac:dyDescent="0.25">
      <c r="A37" s="3" t="s">
        <v>59</v>
      </c>
      <c r="C37" t="s">
        <v>66</v>
      </c>
      <c r="D37">
        <v>385.7</v>
      </c>
      <c r="E37">
        <v>18360</v>
      </c>
      <c r="F37">
        <v>-73010</v>
      </c>
    </row>
    <row r="38" spans="1:6" x14ac:dyDescent="0.25">
      <c r="A38" s="3" t="s">
        <v>60</v>
      </c>
      <c r="C38" t="s">
        <v>67</v>
      </c>
      <c r="D38">
        <v>387.15</v>
      </c>
      <c r="E38">
        <v>17730</v>
      </c>
    </row>
    <row r="39" spans="1:6" x14ac:dyDescent="0.25">
      <c r="A39" s="3" t="s">
        <v>61</v>
      </c>
      <c r="C39" t="s">
        <v>69</v>
      </c>
      <c r="D39">
        <v>473.15</v>
      </c>
    </row>
    <row r="40" spans="1:6" x14ac:dyDescent="0.25">
      <c r="A40" s="3" t="s">
        <v>68</v>
      </c>
      <c r="C40" t="s">
        <v>70</v>
      </c>
      <c r="D40">
        <v>319.64999999999998</v>
      </c>
    </row>
    <row r="41" spans="1:6" x14ac:dyDescent="0.25">
      <c r="A41" s="3" t="s">
        <v>62</v>
      </c>
      <c r="C41" t="s">
        <v>71</v>
      </c>
    </row>
    <row r="42" spans="1:6" x14ac:dyDescent="0.25">
      <c r="A42" s="3" t="s">
        <v>63</v>
      </c>
      <c r="C42" t="s">
        <v>72</v>
      </c>
      <c r="D42">
        <v>410.15</v>
      </c>
    </row>
    <row r="43" spans="1:6" x14ac:dyDescent="0.25">
      <c r="A43" s="3" t="s">
        <v>64</v>
      </c>
      <c r="C43" t="s">
        <v>73</v>
      </c>
      <c r="D43">
        <v>385.15</v>
      </c>
    </row>
  </sheetData>
  <autoFilter ref="A1:F1" xr:uid="{3399CF41-2FA5-4790-AC55-DE65A2BCB50A}">
    <sortState xmlns:xlrd2="http://schemas.microsoft.com/office/spreadsheetml/2017/richdata2" ref="A2:F14">
      <sortCondition ref="E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86A1-84C7-4241-A3B9-138356725320}">
  <dimension ref="A1:L22"/>
  <sheetViews>
    <sheetView tabSelected="1" workbookViewId="0">
      <selection activeCell="K3" sqref="K3"/>
    </sheetView>
  </sheetViews>
  <sheetFormatPr defaultRowHeight="15" x14ac:dyDescent="0.25"/>
  <cols>
    <col min="1" max="1" width="33.28515625" bestFit="1" customWidth="1"/>
    <col min="2" max="2" width="8.28515625" bestFit="1" customWidth="1"/>
    <col min="3" max="3" width="32.28515625" bestFit="1" customWidth="1"/>
    <col min="4" max="4" width="19.42578125" customWidth="1"/>
    <col min="5" max="5" width="19.7109375" customWidth="1"/>
    <col min="6" max="6" width="19.85546875" customWidth="1"/>
    <col min="7" max="7" width="18.42578125" customWidth="1"/>
    <col min="8" max="8" width="18" customWidth="1"/>
    <col min="9" max="9" width="12.85546875" customWidth="1"/>
    <col min="10" max="11" width="20.5703125" bestFit="1" customWidth="1"/>
    <col min="12" max="12" width="15.855468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2" t="s">
        <v>84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85</v>
      </c>
      <c r="K1" s="2" t="s">
        <v>82</v>
      </c>
      <c r="L1" s="2" t="s">
        <v>83</v>
      </c>
    </row>
    <row r="2" spans="1:12" x14ac:dyDescent="0.25">
      <c r="A2" t="s">
        <v>102</v>
      </c>
      <c r="C2" t="s">
        <v>106</v>
      </c>
      <c r="D2" s="6">
        <f>IFERROR(AVERAGEIF('[1]Melting Temperature'!$A:$A, $A2, '[1]Melting Temperature'!$E:$E), "—")</f>
        <v>384.15</v>
      </c>
      <c r="E2" cm="1">
        <f t="array" ref="E2">IFERROR(IF(COUNTIF('[1]Melting Temperature'!$A:$A, $A2)&gt;1, _xlfn.STDEV.S(_xlfn._xlws.FILTER('[1]Melting Temperature'!$E:$E, '[1]Melting Temperature'!$A:$A=$A2)), "—"), "—")</f>
        <v>9.8994949366116654</v>
      </c>
      <c r="F2">
        <f>COUNTIF('[1]Melting Temperature'!$A:$A, $A2)</f>
        <v>2</v>
      </c>
      <c r="G2" s="6">
        <f>IFERROR(AVERAGEIF('[1]Enthalpy of Fusion'!$A:$A, $A2, '[1]Enthalpy of Fusion'!$E:$E), "—")</f>
        <v>2.8</v>
      </c>
      <c r="H2" cm="1">
        <f t="array" ref="H2">IFERROR(IF(COUNTIF('[1]Enthalpy of Fusion'!$A:$A, $A2)&gt;1, _xlfn.STDEV.S(_xlfn._xlws.FILTER('[1]Enthalpy of Fusion'!$E:$E, '[1]Enthalpy of Fusion'!$A:$A=$A2)), "—"), "—")</f>
        <v>0.56568542494923979</v>
      </c>
      <c r="I2">
        <f>COUNTIF('[1]Enthalpy of Fusion'!$A:$A, $A2)</f>
        <v>2</v>
      </c>
      <c r="J2" s="7">
        <f>IFERROR(AVERAGEIF('[1]Enthalpy of Formation'!$A:$A, $A2, '[1]Enthalpy of Formation'!$E:$E), "—")</f>
        <v>-133.4</v>
      </c>
      <c r="K2" s="8">
        <v>5.2</v>
      </c>
      <c r="L2">
        <f>COUNTIF('[1]Enthalpy of Formation'!$A:$A, $A2)</f>
        <v>1</v>
      </c>
    </row>
    <row r="3" spans="1:12" x14ac:dyDescent="0.25">
      <c r="A3" t="s">
        <v>103</v>
      </c>
      <c r="C3" t="s">
        <v>104</v>
      </c>
      <c r="D3">
        <v>505.65</v>
      </c>
      <c r="E3">
        <f>1.96*3.535533906/SQRT(F3)</f>
        <v>4.90000000009322</v>
      </c>
      <c r="F3">
        <v>2</v>
      </c>
      <c r="G3" t="s">
        <v>101</v>
      </c>
      <c r="H3" t="s">
        <v>101</v>
      </c>
      <c r="I3">
        <v>0</v>
      </c>
      <c r="J3" t="s">
        <v>101</v>
      </c>
      <c r="K3" t="s">
        <v>101</v>
      </c>
      <c r="L3">
        <v>0</v>
      </c>
    </row>
    <row r="4" spans="1:12" x14ac:dyDescent="0.25">
      <c r="A4" t="s">
        <v>107</v>
      </c>
      <c r="C4" t="s">
        <v>105</v>
      </c>
      <c r="D4">
        <v>402.15</v>
      </c>
      <c r="E4">
        <f>1.96*_xlfn.STDEV.S(402.15,273.15+124)/SQRT(2)</f>
        <v>4.9000000000000004</v>
      </c>
      <c r="F4">
        <v>1</v>
      </c>
      <c r="G4">
        <v>16.8</v>
      </c>
      <c r="H4">
        <f>1.96*1.414213562/SQRT(I4)</f>
        <v>1.9599999994829165</v>
      </c>
      <c r="I4">
        <v>2</v>
      </c>
      <c r="J4" t="s">
        <v>101</v>
      </c>
      <c r="K4" t="s">
        <v>101</v>
      </c>
      <c r="L4">
        <v>0</v>
      </c>
    </row>
    <row r="5" spans="1:12" x14ac:dyDescent="0.25">
      <c r="A5" s="3"/>
    </row>
    <row r="6" spans="1:12" x14ac:dyDescent="0.25">
      <c r="A6" s="3"/>
    </row>
    <row r="7" spans="1:12" x14ac:dyDescent="0.25">
      <c r="A7" s="3"/>
    </row>
    <row r="10" spans="1:12" x14ac:dyDescent="0.25">
      <c r="A10" s="3"/>
    </row>
    <row r="11" spans="1:12" x14ac:dyDescent="0.25">
      <c r="A11" s="3"/>
    </row>
    <row r="12" spans="1:12" x14ac:dyDescent="0.25">
      <c r="A12" s="3"/>
    </row>
    <row r="13" spans="1:12" x14ac:dyDescent="0.25">
      <c r="A13" s="3"/>
    </row>
    <row r="14" spans="1:12" x14ac:dyDescent="0.25">
      <c r="A14" s="3"/>
    </row>
    <row r="15" spans="1:12" x14ac:dyDescent="0.25">
      <c r="A15" s="3"/>
    </row>
    <row r="16" spans="1:12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3DE9-D4FA-47AC-BF11-BE862F2429E3}">
  <dimension ref="A1:F64"/>
  <sheetViews>
    <sheetView topLeftCell="A37" workbookViewId="0">
      <selection activeCell="E1" sqref="A1:E1"/>
    </sheetView>
  </sheetViews>
  <sheetFormatPr defaultRowHeight="15" x14ac:dyDescent="0.25"/>
  <cols>
    <col min="1" max="1" width="29.42578125" bestFit="1" customWidth="1"/>
    <col min="2" max="2" width="29.28515625" bestFit="1" customWidth="1"/>
    <col min="3" max="4" width="15.28515625" bestFit="1" customWidth="1"/>
    <col min="5" max="5" width="12.140625" bestFit="1" customWidth="1"/>
    <col min="6" max="6" width="16.28515625" bestFit="1" customWidth="1"/>
  </cols>
  <sheetData>
    <row r="1" spans="1:6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25">
      <c r="A2" t="s">
        <v>87</v>
      </c>
      <c r="B2" t="s">
        <v>86</v>
      </c>
      <c r="C2">
        <v>0.95</v>
      </c>
      <c r="D2">
        <v>5.0000000000000044E-2</v>
      </c>
      <c r="E2">
        <v>585.5</v>
      </c>
      <c r="F2" t="s">
        <v>100</v>
      </c>
    </row>
    <row r="3" spans="1:6" x14ac:dyDescent="0.25">
      <c r="A3" t="s">
        <v>87</v>
      </c>
      <c r="B3" t="s">
        <v>86</v>
      </c>
      <c r="C3">
        <v>0.90400000000000003</v>
      </c>
      <c r="D3">
        <v>9.5999999999999974E-2</v>
      </c>
      <c r="E3">
        <v>520.70000000000005</v>
      </c>
      <c r="F3" t="s">
        <v>100</v>
      </c>
    </row>
    <row r="4" spans="1:6" x14ac:dyDescent="0.25">
      <c r="A4" t="s">
        <v>87</v>
      </c>
      <c r="B4" t="s">
        <v>86</v>
      </c>
      <c r="C4">
        <v>0.85</v>
      </c>
      <c r="D4">
        <v>0.15000000000000002</v>
      </c>
      <c r="E4">
        <v>482</v>
      </c>
      <c r="F4" t="s">
        <v>100</v>
      </c>
    </row>
    <row r="5" spans="1:6" x14ac:dyDescent="0.25">
      <c r="A5" t="s">
        <v>87</v>
      </c>
      <c r="B5" t="s">
        <v>86</v>
      </c>
      <c r="C5">
        <v>0.78700000000000003</v>
      </c>
      <c r="D5">
        <v>0.21299999999999997</v>
      </c>
      <c r="E5">
        <v>436</v>
      </c>
      <c r="F5" t="s">
        <v>100</v>
      </c>
    </row>
    <row r="6" spans="1:6" x14ac:dyDescent="0.25">
      <c r="A6" t="s">
        <v>87</v>
      </c>
      <c r="B6" t="s">
        <v>86</v>
      </c>
      <c r="C6">
        <v>0.72299999999999998</v>
      </c>
      <c r="D6">
        <v>0.27700000000000002</v>
      </c>
      <c r="E6">
        <v>398</v>
      </c>
      <c r="F6" t="s">
        <v>100</v>
      </c>
    </row>
    <row r="7" spans="1:6" x14ac:dyDescent="0.25">
      <c r="A7" t="s">
        <v>87</v>
      </c>
      <c r="B7" t="s">
        <v>86</v>
      </c>
      <c r="C7">
        <v>0.63400000000000001</v>
      </c>
      <c r="D7">
        <v>0.36599999999999999</v>
      </c>
      <c r="E7">
        <v>362.8</v>
      </c>
      <c r="F7" t="s">
        <v>100</v>
      </c>
    </row>
    <row r="8" spans="1:6" x14ac:dyDescent="0.25">
      <c r="A8" t="s">
        <v>87</v>
      </c>
      <c r="B8" t="s">
        <v>86</v>
      </c>
      <c r="C8">
        <v>0.52</v>
      </c>
      <c r="D8">
        <v>0.48</v>
      </c>
      <c r="E8">
        <v>344.8</v>
      </c>
      <c r="F8" t="s">
        <v>100</v>
      </c>
    </row>
    <row r="9" spans="1:6" x14ac:dyDescent="0.25">
      <c r="A9" t="s">
        <v>87</v>
      </c>
      <c r="B9" t="s">
        <v>86</v>
      </c>
      <c r="C9">
        <v>0.40799999999999997</v>
      </c>
      <c r="D9">
        <v>0.59200000000000008</v>
      </c>
      <c r="E9">
        <v>343.7</v>
      </c>
      <c r="F9" t="s">
        <v>100</v>
      </c>
    </row>
    <row r="10" spans="1:6" x14ac:dyDescent="0.25">
      <c r="A10" t="s">
        <v>87</v>
      </c>
      <c r="B10" t="s">
        <v>86</v>
      </c>
      <c r="C10">
        <v>0.24199999999999999</v>
      </c>
      <c r="D10">
        <v>0.75800000000000001</v>
      </c>
      <c r="E10">
        <v>342.4</v>
      </c>
      <c r="F10" t="s">
        <v>100</v>
      </c>
    </row>
    <row r="11" spans="1:6" x14ac:dyDescent="0.25">
      <c r="A11" t="s">
        <v>87</v>
      </c>
      <c r="B11" t="s">
        <v>88</v>
      </c>
      <c r="C11">
        <v>0.94899999999999995</v>
      </c>
      <c r="D11">
        <v>5.1000000000000045E-2</v>
      </c>
      <c r="E11">
        <v>609.70000000000005</v>
      </c>
      <c r="F11" t="s">
        <v>100</v>
      </c>
    </row>
    <row r="12" spans="1:6" x14ac:dyDescent="0.25">
      <c r="A12" t="s">
        <v>87</v>
      </c>
      <c r="B12" t="s">
        <v>88</v>
      </c>
      <c r="C12">
        <v>0.89900000000000002</v>
      </c>
      <c r="D12">
        <v>0.10099999999999998</v>
      </c>
      <c r="E12">
        <v>608.79999999999995</v>
      </c>
      <c r="F12" t="s">
        <v>100</v>
      </c>
    </row>
    <row r="13" spans="1:6" x14ac:dyDescent="0.25">
      <c r="A13" t="s">
        <v>87</v>
      </c>
      <c r="B13" t="s">
        <v>88</v>
      </c>
      <c r="C13">
        <v>0.8</v>
      </c>
      <c r="D13">
        <v>0.19999999999999996</v>
      </c>
      <c r="E13">
        <v>595.70000000000005</v>
      </c>
      <c r="F13" t="s">
        <v>100</v>
      </c>
    </row>
    <row r="14" spans="1:6" x14ac:dyDescent="0.25">
      <c r="A14" t="s">
        <v>87</v>
      </c>
      <c r="B14" t="s">
        <v>88</v>
      </c>
      <c r="C14">
        <v>0.69899999999999995</v>
      </c>
      <c r="D14">
        <v>0.30100000000000005</v>
      </c>
      <c r="E14">
        <v>574.4</v>
      </c>
      <c r="F14" t="s">
        <v>100</v>
      </c>
    </row>
    <row r="15" spans="1:6" x14ac:dyDescent="0.25">
      <c r="A15" t="s">
        <v>87</v>
      </c>
      <c r="B15" t="s">
        <v>88</v>
      </c>
      <c r="C15">
        <v>0.6</v>
      </c>
      <c r="D15">
        <v>0.4</v>
      </c>
      <c r="E15">
        <v>547.9</v>
      </c>
      <c r="F15" t="s">
        <v>100</v>
      </c>
    </row>
    <row r="16" spans="1:6" x14ac:dyDescent="0.25">
      <c r="A16" t="s">
        <v>87</v>
      </c>
      <c r="B16" t="s">
        <v>88</v>
      </c>
      <c r="C16">
        <v>0.501</v>
      </c>
      <c r="D16">
        <v>0.499</v>
      </c>
      <c r="E16">
        <v>517.79999999999995</v>
      </c>
      <c r="F16" t="s">
        <v>100</v>
      </c>
    </row>
    <row r="17" spans="1:6" x14ac:dyDescent="0.25">
      <c r="A17" t="s">
        <v>87</v>
      </c>
      <c r="B17" t="s">
        <v>88</v>
      </c>
      <c r="C17">
        <v>0.40300000000000002</v>
      </c>
      <c r="D17">
        <v>0.59699999999999998</v>
      </c>
      <c r="E17">
        <v>488</v>
      </c>
      <c r="F17" t="s">
        <v>100</v>
      </c>
    </row>
    <row r="18" spans="1:6" x14ac:dyDescent="0.25">
      <c r="A18" t="s">
        <v>87</v>
      </c>
      <c r="B18" t="s">
        <v>88</v>
      </c>
      <c r="C18">
        <v>0.3</v>
      </c>
      <c r="D18">
        <v>0.7</v>
      </c>
      <c r="E18">
        <v>515.9</v>
      </c>
      <c r="F18" t="s">
        <v>100</v>
      </c>
    </row>
    <row r="19" spans="1:6" x14ac:dyDescent="0.25">
      <c r="A19" t="s">
        <v>87</v>
      </c>
      <c r="B19" t="s">
        <v>88</v>
      </c>
      <c r="C19">
        <v>0.2</v>
      </c>
      <c r="D19">
        <v>0.8</v>
      </c>
      <c r="E19">
        <v>538.5</v>
      </c>
      <c r="F19" t="s">
        <v>100</v>
      </c>
    </row>
    <row r="20" spans="1:6" x14ac:dyDescent="0.25">
      <c r="A20" t="s">
        <v>87</v>
      </c>
      <c r="B20" t="s">
        <v>88</v>
      </c>
      <c r="C20">
        <v>0.10100000000000001</v>
      </c>
      <c r="D20">
        <v>0.89900000000000002</v>
      </c>
      <c r="E20">
        <v>554.20000000000005</v>
      </c>
      <c r="F20" t="s">
        <v>100</v>
      </c>
    </row>
    <row r="21" spans="1:6" x14ac:dyDescent="0.25">
      <c r="A21" t="s">
        <v>87</v>
      </c>
      <c r="B21" t="s">
        <v>89</v>
      </c>
      <c r="C21">
        <v>0.94899999999999995</v>
      </c>
      <c r="D21">
        <v>5.1000000000000045E-2</v>
      </c>
      <c r="E21">
        <v>600.9</v>
      </c>
      <c r="F21" t="s">
        <v>100</v>
      </c>
    </row>
    <row r="22" spans="1:6" x14ac:dyDescent="0.25">
      <c r="A22" t="s">
        <v>87</v>
      </c>
      <c r="B22" t="s">
        <v>89</v>
      </c>
      <c r="C22">
        <v>0.9</v>
      </c>
      <c r="D22">
        <v>9.9999999999999978E-2</v>
      </c>
      <c r="E22">
        <v>595</v>
      </c>
      <c r="F22" t="s">
        <v>100</v>
      </c>
    </row>
    <row r="23" spans="1:6" x14ac:dyDescent="0.25">
      <c r="A23" t="s">
        <v>87</v>
      </c>
      <c r="B23" t="s">
        <v>89</v>
      </c>
      <c r="C23">
        <v>0.8</v>
      </c>
      <c r="D23">
        <v>0.19999999999999996</v>
      </c>
      <c r="E23">
        <v>579.6</v>
      </c>
      <c r="F23" t="s">
        <v>100</v>
      </c>
    </row>
    <row r="24" spans="1:6" x14ac:dyDescent="0.25">
      <c r="A24" t="s">
        <v>87</v>
      </c>
      <c r="B24" t="s">
        <v>89</v>
      </c>
      <c r="C24">
        <v>0.69799999999999995</v>
      </c>
      <c r="D24">
        <v>0.30200000000000005</v>
      </c>
      <c r="E24">
        <v>557.9</v>
      </c>
      <c r="F24" t="s">
        <v>100</v>
      </c>
    </row>
    <row r="25" spans="1:6" x14ac:dyDescent="0.25">
      <c r="A25" t="s">
        <v>87</v>
      </c>
      <c r="B25" t="s">
        <v>89</v>
      </c>
      <c r="C25">
        <v>0.59899999999999998</v>
      </c>
      <c r="D25">
        <v>0.40100000000000002</v>
      </c>
      <c r="E25">
        <v>531.1</v>
      </c>
      <c r="F25" t="s">
        <v>100</v>
      </c>
    </row>
    <row r="26" spans="1:6" x14ac:dyDescent="0.25">
      <c r="A26" t="s">
        <v>87</v>
      </c>
      <c r="B26" t="s">
        <v>89</v>
      </c>
      <c r="C26">
        <v>0.501</v>
      </c>
      <c r="D26">
        <v>0.499</v>
      </c>
      <c r="E26">
        <v>508.2</v>
      </c>
      <c r="F26" t="s">
        <v>100</v>
      </c>
    </row>
    <row r="27" spans="1:6" x14ac:dyDescent="0.25">
      <c r="A27" t="s">
        <v>87</v>
      </c>
      <c r="B27" t="s">
        <v>89</v>
      </c>
      <c r="C27">
        <v>0.39900000000000002</v>
      </c>
      <c r="D27">
        <v>0.60099999999999998</v>
      </c>
      <c r="E27">
        <v>488.5</v>
      </c>
      <c r="F27" t="s">
        <v>100</v>
      </c>
    </row>
    <row r="28" spans="1:6" x14ac:dyDescent="0.25">
      <c r="A28" t="s">
        <v>87</v>
      </c>
      <c r="B28" t="s">
        <v>89</v>
      </c>
      <c r="C28">
        <v>0.30099999999999999</v>
      </c>
      <c r="D28">
        <v>0.69900000000000007</v>
      </c>
      <c r="E28">
        <v>496.9</v>
      </c>
      <c r="F28" t="s">
        <v>100</v>
      </c>
    </row>
    <row r="29" spans="1:6" x14ac:dyDescent="0.25">
      <c r="A29" t="s">
        <v>87</v>
      </c>
      <c r="B29" t="s">
        <v>89</v>
      </c>
      <c r="C29">
        <v>0.20100000000000001</v>
      </c>
      <c r="D29">
        <v>0.79899999999999993</v>
      </c>
      <c r="E29">
        <v>515.9</v>
      </c>
      <c r="F29" t="s">
        <v>100</v>
      </c>
    </row>
    <row r="30" spans="1:6" x14ac:dyDescent="0.25">
      <c r="A30" t="s">
        <v>87</v>
      </c>
      <c r="B30" t="s">
        <v>89</v>
      </c>
      <c r="C30">
        <v>0.10299999999999999</v>
      </c>
      <c r="D30">
        <v>0.89700000000000002</v>
      </c>
      <c r="E30">
        <v>527.6</v>
      </c>
      <c r="F30" t="s">
        <v>100</v>
      </c>
    </row>
    <row r="31" spans="1:6" x14ac:dyDescent="0.25">
      <c r="A31" t="s">
        <v>87</v>
      </c>
      <c r="B31" t="s">
        <v>90</v>
      </c>
      <c r="C31">
        <v>0.94599999999999995</v>
      </c>
      <c r="D31">
        <v>5.4000000000000048E-2</v>
      </c>
      <c r="E31">
        <v>601.9</v>
      </c>
      <c r="F31" t="s">
        <v>100</v>
      </c>
    </row>
    <row r="32" spans="1:6" x14ac:dyDescent="0.25">
      <c r="A32" t="s">
        <v>87</v>
      </c>
      <c r="B32" t="s">
        <v>90</v>
      </c>
      <c r="C32">
        <v>0.9</v>
      </c>
      <c r="D32">
        <v>9.9999999999999978E-2</v>
      </c>
      <c r="E32">
        <v>596.4</v>
      </c>
      <c r="F32" t="s">
        <v>100</v>
      </c>
    </row>
    <row r="33" spans="1:6" x14ac:dyDescent="0.25">
      <c r="A33" t="s">
        <v>87</v>
      </c>
      <c r="B33" t="s">
        <v>90</v>
      </c>
      <c r="C33">
        <v>0.80100000000000005</v>
      </c>
      <c r="D33">
        <v>0.19899999999999995</v>
      </c>
      <c r="E33">
        <v>563.1</v>
      </c>
      <c r="F33" t="s">
        <v>100</v>
      </c>
    </row>
    <row r="34" spans="1:6" x14ac:dyDescent="0.25">
      <c r="A34" t="s">
        <v>87</v>
      </c>
      <c r="B34" t="s">
        <v>90</v>
      </c>
      <c r="C34">
        <v>0.69599999999999995</v>
      </c>
      <c r="D34">
        <v>0.30400000000000005</v>
      </c>
      <c r="E34">
        <v>532.29999999999995</v>
      </c>
      <c r="F34" t="s">
        <v>100</v>
      </c>
    </row>
    <row r="35" spans="1:6" x14ac:dyDescent="0.25">
      <c r="A35" t="s">
        <v>87</v>
      </c>
      <c r="B35" t="s">
        <v>90</v>
      </c>
      <c r="C35">
        <v>0.59899999999999998</v>
      </c>
      <c r="D35">
        <v>0.40100000000000002</v>
      </c>
      <c r="E35">
        <v>507.7</v>
      </c>
      <c r="F35" t="s">
        <v>100</v>
      </c>
    </row>
    <row r="36" spans="1:6" x14ac:dyDescent="0.25">
      <c r="A36" t="s">
        <v>87</v>
      </c>
      <c r="B36" t="s">
        <v>90</v>
      </c>
      <c r="C36">
        <v>0.5</v>
      </c>
      <c r="D36">
        <v>0.5</v>
      </c>
      <c r="E36">
        <v>475.7</v>
      </c>
      <c r="F36" t="s">
        <v>100</v>
      </c>
    </row>
    <row r="37" spans="1:6" x14ac:dyDescent="0.25">
      <c r="A37" t="s">
        <v>87</v>
      </c>
      <c r="B37" t="s">
        <v>90</v>
      </c>
      <c r="C37">
        <v>0.4</v>
      </c>
      <c r="D37">
        <v>0.6</v>
      </c>
      <c r="E37">
        <v>447.7</v>
      </c>
      <c r="F37" t="s">
        <v>100</v>
      </c>
    </row>
    <row r="38" spans="1:6" x14ac:dyDescent="0.25">
      <c r="A38" t="s">
        <v>87</v>
      </c>
      <c r="B38" t="s">
        <v>90</v>
      </c>
      <c r="C38">
        <v>0.3</v>
      </c>
      <c r="D38">
        <v>0.7</v>
      </c>
      <c r="E38">
        <v>459</v>
      </c>
      <c r="F38" t="s">
        <v>100</v>
      </c>
    </row>
    <row r="39" spans="1:6" x14ac:dyDescent="0.25">
      <c r="A39" t="s">
        <v>87</v>
      </c>
      <c r="B39" t="s">
        <v>90</v>
      </c>
      <c r="C39">
        <v>0.2</v>
      </c>
      <c r="D39">
        <v>0.8</v>
      </c>
      <c r="E39">
        <v>490.9</v>
      </c>
      <c r="F39" t="s">
        <v>100</v>
      </c>
    </row>
    <row r="40" spans="1:6" x14ac:dyDescent="0.25">
      <c r="A40" t="s">
        <v>87</v>
      </c>
      <c r="B40" t="s">
        <v>90</v>
      </c>
      <c r="C40">
        <v>0.111</v>
      </c>
      <c r="D40">
        <v>0.88900000000000001</v>
      </c>
      <c r="E40">
        <v>512.9</v>
      </c>
      <c r="F40" t="s">
        <v>100</v>
      </c>
    </row>
    <row r="41" spans="1:6" x14ac:dyDescent="0.25">
      <c r="A41" t="s">
        <v>87</v>
      </c>
      <c r="B41" t="s">
        <v>90</v>
      </c>
      <c r="C41">
        <v>6.8000000000000005E-2</v>
      </c>
      <c r="D41">
        <v>0.93199999999999994</v>
      </c>
      <c r="E41">
        <v>520.9</v>
      </c>
      <c r="F41" t="s">
        <v>100</v>
      </c>
    </row>
    <row r="42" spans="1:6" x14ac:dyDescent="0.25">
      <c r="A42" t="s">
        <v>87</v>
      </c>
      <c r="B42" t="s">
        <v>91</v>
      </c>
      <c r="C42">
        <v>0.94899999999999995</v>
      </c>
      <c r="D42">
        <v>5.1000000000000045E-2</v>
      </c>
      <c r="E42">
        <v>603</v>
      </c>
      <c r="F42" t="s">
        <v>100</v>
      </c>
    </row>
    <row r="43" spans="1:6" x14ac:dyDescent="0.25">
      <c r="A43" t="s">
        <v>87</v>
      </c>
      <c r="B43" t="s">
        <v>91</v>
      </c>
      <c r="C43">
        <v>0.89900000000000002</v>
      </c>
      <c r="D43">
        <v>0.10099999999999998</v>
      </c>
      <c r="E43">
        <v>589.20000000000005</v>
      </c>
      <c r="F43" t="s">
        <v>100</v>
      </c>
    </row>
    <row r="44" spans="1:6" x14ac:dyDescent="0.25">
      <c r="A44" t="s">
        <v>87</v>
      </c>
      <c r="B44" t="s">
        <v>91</v>
      </c>
      <c r="C44">
        <v>0.79800000000000004</v>
      </c>
      <c r="D44">
        <v>0.20199999999999996</v>
      </c>
      <c r="E44">
        <v>551.79999999999995</v>
      </c>
      <c r="F44" t="s">
        <v>100</v>
      </c>
    </row>
    <row r="45" spans="1:6" x14ac:dyDescent="0.25">
      <c r="A45" t="s">
        <v>87</v>
      </c>
      <c r="B45" t="s">
        <v>91</v>
      </c>
      <c r="C45">
        <v>0.69899999999999995</v>
      </c>
      <c r="D45">
        <v>0.30100000000000005</v>
      </c>
      <c r="E45">
        <v>515.20000000000005</v>
      </c>
      <c r="F45" t="s">
        <v>100</v>
      </c>
    </row>
    <row r="46" spans="1:6" x14ac:dyDescent="0.25">
      <c r="A46" t="s">
        <v>87</v>
      </c>
      <c r="B46" t="s">
        <v>91</v>
      </c>
      <c r="C46">
        <v>0.6</v>
      </c>
      <c r="D46">
        <v>0.4</v>
      </c>
      <c r="E46">
        <v>465.5</v>
      </c>
      <c r="F46" t="s">
        <v>100</v>
      </c>
    </row>
    <row r="47" spans="1:6" x14ac:dyDescent="0.25">
      <c r="A47" t="s">
        <v>87</v>
      </c>
      <c r="B47" t="s">
        <v>91</v>
      </c>
      <c r="C47">
        <v>0.502</v>
      </c>
      <c r="D47">
        <v>0.498</v>
      </c>
      <c r="E47">
        <v>421.5</v>
      </c>
      <c r="F47" t="s">
        <v>100</v>
      </c>
    </row>
    <row r="48" spans="1:6" x14ac:dyDescent="0.25">
      <c r="A48" t="s">
        <v>87</v>
      </c>
      <c r="B48" t="s">
        <v>91</v>
      </c>
      <c r="C48">
        <v>0.40100000000000002</v>
      </c>
      <c r="D48">
        <v>0.59899999999999998</v>
      </c>
      <c r="E48">
        <v>360.7</v>
      </c>
      <c r="F48" t="s">
        <v>100</v>
      </c>
    </row>
    <row r="49" spans="1:6" x14ac:dyDescent="0.25">
      <c r="A49" t="s">
        <v>87</v>
      </c>
      <c r="B49" t="s">
        <v>91</v>
      </c>
      <c r="C49">
        <v>0.30299999999999999</v>
      </c>
      <c r="D49">
        <v>0.69700000000000006</v>
      </c>
      <c r="E49">
        <v>405.6</v>
      </c>
      <c r="F49" t="s">
        <v>100</v>
      </c>
    </row>
    <row r="50" spans="1:6" x14ac:dyDescent="0.25">
      <c r="A50" t="s">
        <v>87</v>
      </c>
      <c r="B50" t="s">
        <v>91</v>
      </c>
      <c r="C50">
        <v>0.20200000000000001</v>
      </c>
      <c r="D50">
        <v>0.79800000000000004</v>
      </c>
      <c r="E50">
        <v>439.8</v>
      </c>
      <c r="F50" t="s">
        <v>100</v>
      </c>
    </row>
    <row r="51" spans="1:6" x14ac:dyDescent="0.25">
      <c r="A51" t="s">
        <v>87</v>
      </c>
      <c r="B51" t="s">
        <v>91</v>
      </c>
      <c r="C51">
        <v>0.10299999999999999</v>
      </c>
      <c r="D51">
        <v>0.89700000000000002</v>
      </c>
      <c r="E51">
        <v>477.5</v>
      </c>
      <c r="F51" t="s">
        <v>100</v>
      </c>
    </row>
    <row r="52" spans="1:6" x14ac:dyDescent="0.25">
      <c r="A52" t="s">
        <v>87</v>
      </c>
      <c r="B52" t="s">
        <v>91</v>
      </c>
      <c r="C52">
        <v>5.5E-2</v>
      </c>
      <c r="D52">
        <v>0.94499999999999995</v>
      </c>
      <c r="E52">
        <v>489.7</v>
      </c>
      <c r="F52" t="s">
        <v>100</v>
      </c>
    </row>
    <row r="53" spans="1:6" x14ac:dyDescent="0.25">
      <c r="A53" t="s">
        <v>92</v>
      </c>
      <c r="B53" t="s">
        <v>93</v>
      </c>
      <c r="C53">
        <v>0.65700000000000003</v>
      </c>
      <c r="D53">
        <v>0.34299999999999997</v>
      </c>
      <c r="E53">
        <v>873.15</v>
      </c>
      <c r="F53" t="s">
        <v>100</v>
      </c>
    </row>
    <row r="54" spans="1:6" x14ac:dyDescent="0.25">
      <c r="A54" t="s">
        <v>92</v>
      </c>
      <c r="B54" t="s">
        <v>93</v>
      </c>
      <c r="C54">
        <v>0.60499999999999998</v>
      </c>
      <c r="D54">
        <v>0.39500000000000002</v>
      </c>
      <c r="E54">
        <v>825.15</v>
      </c>
      <c r="F54" t="s">
        <v>100</v>
      </c>
    </row>
    <row r="55" spans="1:6" x14ac:dyDescent="0.25">
      <c r="A55" t="s">
        <v>92</v>
      </c>
      <c r="B55" t="s">
        <v>93</v>
      </c>
      <c r="C55">
        <v>0.57399999999999995</v>
      </c>
      <c r="D55">
        <v>0.42600000000000005</v>
      </c>
      <c r="E55">
        <v>800.15</v>
      </c>
      <c r="F55" t="s">
        <v>100</v>
      </c>
    </row>
    <row r="56" spans="1:6" x14ac:dyDescent="0.25">
      <c r="A56" t="s">
        <v>92</v>
      </c>
      <c r="B56" t="s">
        <v>93</v>
      </c>
      <c r="C56">
        <v>0.52200000000000002</v>
      </c>
      <c r="D56">
        <v>0.47799999999999998</v>
      </c>
      <c r="E56">
        <v>750.15</v>
      </c>
      <c r="F56" t="s">
        <v>100</v>
      </c>
    </row>
    <row r="57" spans="1:6" x14ac:dyDescent="0.25">
      <c r="A57" t="s">
        <v>92</v>
      </c>
      <c r="B57" t="s">
        <v>93</v>
      </c>
      <c r="C57">
        <v>0.442</v>
      </c>
      <c r="D57">
        <v>0.55800000000000005</v>
      </c>
      <c r="E57">
        <v>658.15</v>
      </c>
      <c r="F57" t="s">
        <v>100</v>
      </c>
    </row>
    <row r="58" spans="1:6" x14ac:dyDescent="0.25">
      <c r="A58" t="s">
        <v>92</v>
      </c>
      <c r="B58" t="s">
        <v>93</v>
      </c>
      <c r="C58">
        <v>0.42699999999999999</v>
      </c>
      <c r="D58">
        <v>0.57299999999999995</v>
      </c>
      <c r="E58">
        <v>640.15</v>
      </c>
      <c r="F58" t="s">
        <v>100</v>
      </c>
    </row>
    <row r="59" spans="1:6" x14ac:dyDescent="0.25">
      <c r="A59" t="s">
        <v>92</v>
      </c>
      <c r="B59" t="s">
        <v>93</v>
      </c>
      <c r="C59">
        <v>0.42299999999999999</v>
      </c>
      <c r="D59">
        <v>0.57699999999999996</v>
      </c>
      <c r="E59">
        <v>636.15</v>
      </c>
      <c r="F59" t="s">
        <v>100</v>
      </c>
    </row>
    <row r="60" spans="1:6" x14ac:dyDescent="0.25">
      <c r="A60" t="s">
        <v>92</v>
      </c>
      <c r="B60" t="s">
        <v>93</v>
      </c>
      <c r="C60">
        <v>0.41499999999999998</v>
      </c>
      <c r="D60">
        <v>0.58499999999999996</v>
      </c>
      <c r="E60">
        <v>634.15</v>
      </c>
      <c r="F60" t="s">
        <v>100</v>
      </c>
    </row>
    <row r="61" spans="1:6" x14ac:dyDescent="0.25">
      <c r="A61" t="s">
        <v>92</v>
      </c>
      <c r="B61" t="s">
        <v>93</v>
      </c>
      <c r="C61">
        <v>0.41299999999999998</v>
      </c>
      <c r="D61">
        <v>0.58699999999999997</v>
      </c>
      <c r="E61">
        <v>635.15</v>
      </c>
      <c r="F61" t="s">
        <v>100</v>
      </c>
    </row>
    <row r="62" spans="1:6" x14ac:dyDescent="0.25">
      <c r="A62" t="s">
        <v>92</v>
      </c>
      <c r="B62" t="s">
        <v>93</v>
      </c>
      <c r="C62">
        <v>0.40600000000000003</v>
      </c>
      <c r="D62">
        <v>0.59399999999999997</v>
      </c>
      <c r="E62">
        <v>645.15</v>
      </c>
      <c r="F62" t="s">
        <v>100</v>
      </c>
    </row>
    <row r="63" spans="1:6" x14ac:dyDescent="0.25">
      <c r="A63" t="s">
        <v>92</v>
      </c>
      <c r="B63" t="s">
        <v>93</v>
      </c>
      <c r="C63">
        <v>0.38700000000000001</v>
      </c>
      <c r="D63">
        <v>0.61299999999999999</v>
      </c>
      <c r="E63">
        <v>661.15</v>
      </c>
      <c r="F63" t="s">
        <v>100</v>
      </c>
    </row>
    <row r="64" spans="1:6" x14ac:dyDescent="0.25">
      <c r="A64" t="s">
        <v>92</v>
      </c>
      <c r="B64" t="s">
        <v>93</v>
      </c>
      <c r="C64">
        <v>0.35599999999999998</v>
      </c>
      <c r="D64">
        <v>0.64400000000000002</v>
      </c>
      <c r="E64">
        <v>685.15</v>
      </c>
      <c r="F6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Unfinished CATALOG</vt:lpstr>
      <vt:lpstr>Pure Input</vt:lpstr>
      <vt:lpstr>Binary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2026-07-02T18:49:05Z</dcterms:created>
  <dcterms:modified xsi:type="dcterms:W3CDTF">2026-09-29T22:34:19Z</dcterms:modified>
</cp:coreProperties>
</file>