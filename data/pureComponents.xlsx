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glotov\Eutectics\"/>
    </mc:Choice>
  </mc:AlternateContent>
  <xr:revisionPtr revIDLastSave="0" documentId="13_ncr:1_{643AFE42-FDE3-4741-BDF9-FD4683F4F84B}" xr6:coauthVersionLast="47" xr6:coauthVersionMax="47" xr10:uidLastSave="{00000000-0000-0000-0000-000000000000}"/>
  <bookViews>
    <workbookView xWindow="-28800" yWindow="0" windowWidth="14400" windowHeight="15600" xr2:uid="{22E7D031-F429-4E0A-8A8B-4D129F5BB641}"/>
  </bookViews>
  <sheets>
    <sheet name="CATALOG" sheetId="1" r:id="rId1"/>
    <sheet name="Input" sheetId="2" r:id="rId2"/>
  </sheets>
  <definedNames>
    <definedName name="_xlnm._FilterDatabase" localSheetId="0" hidden="1">CATALOG!$A$1:$F$1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E8" i="1"/>
  <c r="D8" i="1"/>
  <c r="F9" i="1"/>
  <c r="E9" i="1"/>
  <c r="D9" i="1"/>
  <c r="D12" i="1"/>
  <c r="D11" i="1"/>
  <c r="D7" i="1"/>
  <c r="D6" i="2"/>
  <c r="D2" i="2"/>
  <c r="E2" i="1"/>
  <c r="D3" i="1"/>
  <c r="D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Glotov</author>
  </authors>
  <commentList>
    <comment ref="D2" authorId="0" shapeId="0" xr:uid="{B7D4224E-A493-447D-84BA-7DDEFFF3C9D8}">
      <text>
        <r>
          <rPr>
            <b/>
            <sz val="9"/>
            <color indexed="81"/>
            <rFont val="Tahoma"/>
            <charset val="1"/>
          </rPr>
          <t>Alexander Glotov:</t>
        </r>
        <r>
          <rPr>
            <sz val="9"/>
            <color indexed="81"/>
            <rFont val="Tahoma"/>
            <charset val="1"/>
          </rPr>
          <t xml:space="preserve">
https://pubchem.ncbi.nlm.nih.gov/compound/Water#section=Melting-Point</t>
        </r>
      </text>
    </comment>
    <comment ref="E2" authorId="0" shapeId="0" xr:uid="{5995BC99-B557-4A15-B6FB-81F561DA6AD0}">
      <text>
        <r>
          <rPr>
            <b/>
            <sz val="9"/>
            <color indexed="81"/>
            <rFont val="Tahoma"/>
            <charset val="1"/>
          </rPr>
          <t>Alexander Glotov:</t>
        </r>
        <r>
          <rPr>
            <sz val="9"/>
            <color indexed="81"/>
            <rFont val="Tahoma"/>
            <charset val="1"/>
          </rPr>
          <t xml:space="preserve">
https://www.engineeringtoolbox.com/water-thermal-properties-d_162.html</t>
        </r>
      </text>
    </comment>
    <comment ref="F2" authorId="0" shapeId="0" xr:uid="{783F21FA-4AD3-468F-B910-64A10EB1842D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1)https://atct.anl.gov/Thermochemical%20Data/version%201.220/species/?species_number=24</t>
        </r>
      </text>
    </comment>
    <comment ref="D3" authorId="0" shapeId="0" xr:uid="{2C99D34F-09BE-451B-8192-07DB24810E50}">
      <text>
        <r>
          <rPr>
            <b/>
            <sz val="9"/>
            <color indexed="81"/>
            <rFont val="Tahoma"/>
            <charset val="1"/>
          </rPr>
          <t>Alexander Glotov:</t>
        </r>
        <r>
          <rPr>
            <sz val="9"/>
            <color indexed="81"/>
            <rFont val="Tahoma"/>
            <charset val="1"/>
          </rPr>
          <t xml:space="preserve">
Ashlee</t>
        </r>
      </text>
    </comment>
    <comment ref="E3" authorId="0" shapeId="0" xr:uid="{36D0DEA9-FF41-4A3D-B02A-6E8572488186}">
      <text>
        <r>
          <rPr>
            <b/>
            <sz val="9"/>
            <color indexed="81"/>
            <rFont val="Tahoma"/>
            <charset val="1"/>
          </rPr>
          <t>Alexander Glotov:</t>
        </r>
        <r>
          <rPr>
            <sz val="9"/>
            <color indexed="81"/>
            <rFont val="Tahoma"/>
            <charset val="1"/>
          </rPr>
          <t xml:space="preserve">
Ashlee</t>
        </r>
      </text>
    </comment>
    <comment ref="F3" authorId="0" shapeId="0" xr:uid="{380BD958-450B-4177-80CD-D9786D489AA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1)https://atct.anl.gov/Thermochemical%20Data/version%201.220/species/?species_number=1912</t>
        </r>
      </text>
    </comment>
    <comment ref="D4" authorId="0" shapeId="0" xr:uid="{49F68355-A445-4BAF-90F2-E3C2E9145A46}">
      <text>
        <r>
          <rPr>
            <b/>
            <sz val="9"/>
            <color indexed="81"/>
            <rFont val="Tahoma"/>
            <charset val="1"/>
          </rPr>
          <t>Alexander Glotov:</t>
        </r>
        <r>
          <rPr>
            <sz val="9"/>
            <color indexed="81"/>
            <rFont val="Tahoma"/>
            <charset val="1"/>
          </rPr>
          <t xml:space="preserve">
Ashlee</t>
        </r>
      </text>
    </comment>
    <comment ref="E4" authorId="0" shapeId="0" xr:uid="{ADF150B1-E417-45FE-81D2-E8DAE9F836DF}">
      <text>
        <r>
          <rPr>
            <b/>
            <sz val="9"/>
            <color indexed="81"/>
            <rFont val="Tahoma"/>
            <charset val="1"/>
          </rPr>
          <t>Alexander Glotov:</t>
        </r>
        <r>
          <rPr>
            <sz val="9"/>
            <color indexed="81"/>
            <rFont val="Tahoma"/>
            <charset val="1"/>
          </rPr>
          <t xml:space="preserve">
Ashlee</t>
        </r>
      </text>
    </comment>
    <comment ref="F4" authorId="0" shapeId="0" xr:uid="{E5BF108A-0EA7-4AC6-92BA-13EC6989AEC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1)https://atct.anl.gov/Thermochemical%20Data/version%201.220/species/?species_number=1907</t>
        </r>
      </text>
    </comment>
    <comment ref="D5" authorId="0" shapeId="0" xr:uid="{787C61F0-F01E-4D84-8CAA-AAF894740532}">
      <text>
        <r>
          <rPr>
            <b/>
            <sz val="9"/>
            <color indexed="81"/>
            <rFont val="Tahoma"/>
            <charset val="1"/>
          </rPr>
          <t>Alexander Glotov:</t>
        </r>
        <r>
          <rPr>
            <sz val="9"/>
            <color indexed="81"/>
            <rFont val="Tahoma"/>
            <charset val="1"/>
          </rPr>
          <t xml:space="preserve">
Hilgeman, Mouroux, Mok, Holan</t>
        </r>
      </text>
    </comment>
    <comment ref="E5" authorId="0" shapeId="0" xr:uid="{B609F4F6-1D6F-4E43-899A-039D6BA4839B}">
      <text>
        <r>
          <rPr>
            <b/>
            <sz val="9"/>
            <color indexed="81"/>
            <rFont val="Tahoma"/>
            <charset val="1"/>
          </rPr>
          <t>Alexander Glotov:</t>
        </r>
        <r>
          <rPr>
            <sz val="9"/>
            <color indexed="81"/>
            <rFont val="Tahoma"/>
            <charset val="1"/>
          </rPr>
          <t xml:space="preserve">
Hilgeman, Mouroux, Mok, Holan</t>
        </r>
      </text>
    </comment>
    <comment ref="F5" authorId="0" shapeId="0" xr:uid="{4457B27D-9D44-49EE-9499-EE2A8F5DB1F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1)https://webbook.nist.gov/cgi/cbook.cgi?ID=C288324&amp;Units=SI&amp;Mask=2#Thermo-Condensed</t>
        </r>
      </text>
    </comment>
    <comment ref="D6" authorId="0" shapeId="0" xr:uid="{4248127E-F186-424E-9304-4093375A6B0B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1)https://webbook.nist.gov/cgi/cbook.cgi?ID=C141435&amp;Units=SI&amp;Mask=4#Thermo-Phase</t>
        </r>
      </text>
    </comment>
    <comment ref="E6" authorId="0" shapeId="0" xr:uid="{AEBB7345-F0F7-4DD9-B32E-D9F056EBEF4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1)https://www.sciencedirect.com/science/article/pii/S1750583613004258</t>
        </r>
      </text>
    </comment>
    <comment ref="F6" authorId="0" shapeId="0" xr:uid="{5106F13A-279A-4601-92D6-B2E92F9DD06C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1)https://webbook.nist.gov/cgi/cbook.cgi?ID=C141435&amp;Units=SI&amp;Mask=2#Thermo-Condensed</t>
        </r>
      </text>
    </comment>
    <comment ref="D7" authorId="0" shapeId="0" xr:uid="{74CA7090-F16F-4E81-9C1D-4C76B0CA001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1)https://advanced.onlinelibrary.wiley.com/doi/10.1002/adma.202502566</t>
        </r>
      </text>
    </comment>
    <comment ref="D8" authorId="0" shapeId="0" xr:uid="{1E1D85AE-73C9-4EE5-9B10-D99F6D60BD07}">
      <text>
        <r>
          <rPr>
            <b/>
            <sz val="9"/>
            <color indexed="81"/>
            <rFont val="Tahoma"/>
            <charset val="1"/>
          </rPr>
          <t>Alexander Glotov:</t>
        </r>
        <r>
          <rPr>
            <sz val="9"/>
            <color indexed="81"/>
            <rFont val="Tahoma"/>
            <charset val="1"/>
          </rPr>
          <t xml:space="preserve">
https://webbook.nist.gov/cgi/cbook.cgi?ID=C111966&amp;Mask=4#Thermo-Phase</t>
        </r>
      </text>
    </comment>
    <comment ref="E8" authorId="0" shapeId="0" xr:uid="{EB6033F4-CA7E-49DB-BB17-C34560971AF5}">
      <text>
        <r>
          <rPr>
            <b/>
            <sz val="9"/>
            <color indexed="81"/>
            <rFont val="Tahoma"/>
            <charset val="1"/>
          </rPr>
          <t>Alexander Glotov:</t>
        </r>
        <r>
          <rPr>
            <sz val="9"/>
            <color indexed="81"/>
            <rFont val="Tahoma"/>
            <charset val="1"/>
          </rPr>
          <t xml:space="preserve">
https://webbook.nist.gov/cgi/cbook.cgi?ID=C111966&amp;Mask=4#Thermo-Phase</t>
        </r>
      </text>
    </comment>
    <comment ref="F8" authorId="0" shapeId="0" xr:uid="{525F711F-3C09-481A-85BF-92F18353722F}">
      <text>
        <r>
          <rPr>
            <b/>
            <sz val="9"/>
            <color indexed="81"/>
            <rFont val="Tahoma"/>
            <charset val="1"/>
          </rPr>
          <t>Alexander Glotov:</t>
        </r>
        <r>
          <rPr>
            <sz val="9"/>
            <color indexed="81"/>
            <rFont val="Tahoma"/>
            <charset val="1"/>
          </rPr>
          <t xml:space="preserve">
https://webbook.nist.gov/cgi/cbook.cgi?ID=C111966&amp;Mask=2#Thermo-Condensed</t>
        </r>
      </text>
    </comment>
    <comment ref="D9" authorId="0" shapeId="0" xr:uid="{2CF6CDD1-F5E1-43E8-A19E-28BAAD5C627C}">
      <text>
        <r>
          <rPr>
            <b/>
            <sz val="9"/>
            <color indexed="81"/>
            <rFont val="Tahoma"/>
            <charset val="1"/>
          </rPr>
          <t>Alexander Glotov:</t>
        </r>
        <r>
          <rPr>
            <sz val="9"/>
            <color indexed="81"/>
            <rFont val="Tahoma"/>
            <charset val="1"/>
          </rPr>
          <t xml:space="preserve">
https://webbook.nist.gov/cgi/cbook.cgi?ID=C56815&amp;Units=SI&amp;Mask=4#Thermo-Phase</t>
        </r>
      </text>
    </comment>
    <comment ref="E9" authorId="0" shapeId="0" xr:uid="{67560CD9-4B42-4009-8FEE-B7B0E0D24E47}">
      <text>
        <r>
          <rPr>
            <b/>
            <sz val="9"/>
            <color indexed="81"/>
            <rFont val="Tahoma"/>
            <charset val="1"/>
          </rPr>
          <t>Alexander Glotov:</t>
        </r>
        <r>
          <rPr>
            <sz val="9"/>
            <color indexed="81"/>
            <rFont val="Tahoma"/>
            <charset val="1"/>
          </rPr>
          <t xml:space="preserve">
https://webbook.nist.gov/cgi/cbook.cgi?ID=C56815&amp;Units=SI&amp;Mask=4#Thermo-Phase</t>
        </r>
      </text>
    </comment>
    <comment ref="F9" authorId="0" shapeId="0" xr:uid="{5E82BDD6-5DA8-4D10-AA85-ECD6AB017319}">
      <text>
        <r>
          <rPr>
            <b/>
            <sz val="9"/>
            <color indexed="81"/>
            <rFont val="Tahoma"/>
            <charset val="1"/>
          </rPr>
          <t>Alexander Glotov:</t>
        </r>
        <r>
          <rPr>
            <sz val="9"/>
            <color indexed="81"/>
            <rFont val="Tahoma"/>
            <charset val="1"/>
          </rPr>
          <t xml:space="preserve">
https://webbook.nist.gov/cgi/cbook.cgi?ID=C56815&amp;Units=SI&amp;Mask=2#Thermo-Condensed</t>
        </r>
      </text>
    </comment>
    <comment ref="D10" authorId="0" shapeId="0" xr:uid="{471E01A8-C311-4AC7-AEC5-5D6B6CAAD97B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E10" authorId="0" shapeId="0" xr:uid="{CBC558AB-017C-4385-AA76-E249D19B2033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F10" authorId="0" shapeId="0" xr:uid="{AB8D56E7-0CD8-4253-A680-DB2E9B7966F8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D11" authorId="0" shapeId="0" xr:uid="{B68F36C1-4BA4-48F1-99E3-8AD353A1321A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1)https://advanced.onlinelibrary.wiley.com/doi/10.1002/adma.202502566</t>
        </r>
      </text>
    </comment>
    <comment ref="F11" authorId="0" shapeId="0" xr:uid="{BADEE219-B2DB-4696-8CD3-185AC97E6E32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1)https://www.sciencedirect.com/science/article/abs/pii/S0040603115003354
2)https://www.sciencedirect.com/science/article/pii/S0016236125036129</t>
        </r>
      </text>
    </comment>
    <comment ref="D12" authorId="0" shapeId="0" xr:uid="{63C390B0-F0DD-4E22-8006-4770ED582EEB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1)https://matweb.com/search/datasheet.aspx?MatGUID=3118b2052ace4835a6d73687613def66&amp;ckck=1</t>
        </r>
      </text>
    </comment>
    <comment ref="F12" authorId="0" shapeId="0" xr:uid="{E1A1E0C1-3AE1-4CDA-A225-D95E0807710C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1)https://matweb.com/search/datasheet.aspx?MatGUID=3118b2052ace4835a6d73687613def66&amp;ckck=1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Glotov</author>
  </authors>
  <commentList>
    <comment ref="D2" authorId="0" shapeId="0" xr:uid="{5501DECC-CA51-4608-A2A9-124DF8574F9C}">
      <text>
        <r>
          <rPr>
            <b/>
            <sz val="9"/>
            <color indexed="81"/>
            <rFont val="Tahoma"/>
            <charset val="1"/>
          </rPr>
          <t>Alexander Glotov:</t>
        </r>
        <r>
          <rPr>
            <sz val="9"/>
            <color indexed="81"/>
            <rFont val="Tahoma"/>
            <charset val="1"/>
          </rPr>
          <t xml:space="preserve">
Ashlee</t>
        </r>
      </text>
    </comment>
    <comment ref="E2" authorId="0" shapeId="0" xr:uid="{366F9C8A-C349-48E6-8883-C6E40BE5B81F}">
      <text>
        <r>
          <rPr>
            <b/>
            <sz val="9"/>
            <color indexed="81"/>
            <rFont val="Tahoma"/>
            <charset val="1"/>
          </rPr>
          <t>Alexander Glotov:</t>
        </r>
        <r>
          <rPr>
            <sz val="9"/>
            <color indexed="81"/>
            <rFont val="Tahoma"/>
            <charset val="1"/>
          </rPr>
          <t xml:space="preserve">
Ashlee</t>
        </r>
      </text>
    </comment>
    <comment ref="F2" authorId="0" shapeId="0" xr:uid="{F3DAE571-D049-4F99-B2BB-AD33D024F8CA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1)https://atct.anl.gov/Thermochemical%20Data/version%201.220/species/?species_number=1912</t>
        </r>
      </text>
    </comment>
    <comment ref="D3" authorId="0" shapeId="0" xr:uid="{FC2E5BC0-6FB5-46E6-A96C-B5A571D6D42E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E3" authorId="0" shapeId="0" xr:uid="{97513E38-6E68-43E5-A94C-6F8C909B7BCE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F3" authorId="0" shapeId="0" xr:uid="{1DBE5D3C-786F-4099-B286-532040D0D3A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D4" authorId="0" shapeId="0" xr:uid="{E40BDC6B-934E-411C-B492-C5CD43E5E926}">
      <text>
        <r>
          <rPr>
            <b/>
            <sz val="9"/>
            <color indexed="81"/>
            <rFont val="Tahoma"/>
            <charset val="1"/>
          </rPr>
          <t>Alexander Glotov:</t>
        </r>
        <r>
          <rPr>
            <sz val="9"/>
            <color indexed="81"/>
            <rFont val="Tahoma"/>
            <charset val="1"/>
          </rPr>
          <t xml:space="preserve">
Hilgeman, Mouroux, Mok, Holan</t>
        </r>
      </text>
    </comment>
    <comment ref="E4" authorId="0" shapeId="0" xr:uid="{9BE4DF8B-2AFF-4A6C-9B30-43F0C8BC4258}">
      <text>
        <r>
          <rPr>
            <b/>
            <sz val="9"/>
            <color indexed="81"/>
            <rFont val="Tahoma"/>
            <charset val="1"/>
          </rPr>
          <t>Alexander Glotov:</t>
        </r>
        <r>
          <rPr>
            <sz val="9"/>
            <color indexed="81"/>
            <rFont val="Tahoma"/>
            <charset val="1"/>
          </rPr>
          <t xml:space="preserve">
Hilgeman, Mouroux, Mok, Holan</t>
        </r>
      </text>
    </comment>
    <comment ref="F4" authorId="0" shapeId="0" xr:uid="{22C3A041-08B4-4358-8FFC-0CCF2BF6856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1)https://webbook.nist.gov/cgi/cbook.cgi?ID=C288324&amp;Units=SI&amp;Mask=2#Thermo-Condensed</t>
        </r>
      </text>
    </comment>
    <comment ref="D5" authorId="0" shapeId="0" xr:uid="{9B46E2A3-89E8-410D-9F36-E3CC4EDF12E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1)https://webbook.nist.gov/cgi/cbook.cgi?ID=C141435&amp;Units=SI&amp;Mask=4#Thermo-Phase</t>
        </r>
      </text>
    </comment>
    <comment ref="E5" authorId="0" shapeId="0" xr:uid="{7AFC09FE-6D63-4AB4-9F34-8C6E6346C5F6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1)https://www.sciencedirect.com/science/article/pii/S1750583613004258</t>
        </r>
      </text>
    </comment>
    <comment ref="F5" authorId="0" shapeId="0" xr:uid="{19F57934-8119-42AF-9A95-961B9A767839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1)https://webbook.nist.gov/cgi/cbook.cgi?ID=C141435&amp;Units=SI&amp;Mask=2#Thermo-Condensed</t>
        </r>
      </text>
    </comment>
    <comment ref="D6" authorId="0" shapeId="0" xr:uid="{A44F0865-2292-4150-8EDA-994F95E330D4}">
      <text>
        <r>
          <rPr>
            <b/>
            <sz val="9"/>
            <color indexed="81"/>
            <rFont val="Tahoma"/>
            <charset val="1"/>
          </rPr>
          <t>Alexander Glotov:</t>
        </r>
        <r>
          <rPr>
            <sz val="9"/>
            <color indexed="81"/>
            <rFont val="Tahoma"/>
            <charset val="1"/>
          </rPr>
          <t xml:space="preserve">
Ashlee</t>
        </r>
      </text>
    </comment>
    <comment ref="E6" authorId="0" shapeId="0" xr:uid="{22EA6CA3-1836-4119-B6E7-99ADB8AE94F6}">
      <text>
        <r>
          <rPr>
            <b/>
            <sz val="9"/>
            <color indexed="81"/>
            <rFont val="Tahoma"/>
            <charset val="1"/>
          </rPr>
          <t>Alexander Glotov:</t>
        </r>
        <r>
          <rPr>
            <sz val="9"/>
            <color indexed="81"/>
            <rFont val="Tahoma"/>
            <charset val="1"/>
          </rPr>
          <t xml:space="preserve">
Ashlee</t>
        </r>
      </text>
    </comment>
    <comment ref="F6" authorId="0" shapeId="0" xr:uid="{7A8F76C3-1C0D-4DE3-9D30-F2E27379947A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1)https://atct.anl.gov/Thermochemical%20Data/version%201.220/species/?species_number=1907</t>
        </r>
      </text>
    </comment>
  </commentList>
</comments>
</file>

<file path=xl/sharedStrings.xml><?xml version="1.0" encoding="utf-8"?>
<sst xmlns="http://schemas.openxmlformats.org/spreadsheetml/2006/main" count="52" uniqueCount="34">
  <si>
    <t>Full Name</t>
  </si>
  <si>
    <t>Symbol</t>
  </si>
  <si>
    <t>SMILES</t>
  </si>
  <si>
    <t>Melting Temp
[K]</t>
  </si>
  <si>
    <t>Heat of Fusion
[J/mol]</t>
  </si>
  <si>
    <t>Standard Heat of Formation
[J/mol]</t>
  </si>
  <si>
    <t>Urea</t>
  </si>
  <si>
    <t>CH4N2O</t>
  </si>
  <si>
    <t>Monoethanolamine</t>
  </si>
  <si>
    <t>NC(N)=O</t>
  </si>
  <si>
    <t>NCCO</t>
  </si>
  <si>
    <t>Acetamide</t>
  </si>
  <si>
    <t>C2H5NO</t>
  </si>
  <si>
    <t>Imidazole</t>
  </si>
  <si>
    <t>Water</t>
  </si>
  <si>
    <t>H2O</t>
  </si>
  <si>
    <t>O</t>
  </si>
  <si>
    <t>Ethylenediamine</t>
  </si>
  <si>
    <t>CC(N)=O</t>
  </si>
  <si>
    <t>NCCN</t>
  </si>
  <si>
    <t>c1c[nH]cn1</t>
  </si>
  <si>
    <t>Tetrabutylammonium Borohydride</t>
  </si>
  <si>
    <t>[BH4-].CCCC[N+](CCCC)(CCCC)CCCC</t>
  </si>
  <si>
    <t>Ammonia Borane</t>
  </si>
  <si>
    <t>[BH3-][NH3+]</t>
  </si>
  <si>
    <t>Lithium Borohydride</t>
  </si>
  <si>
    <t>[Li+].[BH4-]</t>
  </si>
  <si>
    <t>Sodium Borohydride</t>
  </si>
  <si>
    <t>Glycerol</t>
  </si>
  <si>
    <t>C3H8O3</t>
  </si>
  <si>
    <t>Diglyme</t>
  </si>
  <si>
    <t>C6H14O3</t>
  </si>
  <si>
    <t>Tetraethylammonium Borohydride</t>
  </si>
  <si>
    <t>[B].CC[N+](CC)(CC)CC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</si>
</sst>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CF41-2FA5-4790-AC55-DE65A2BCB50A}">
  <dimension ref="A1:F14"/>
  <sheetViews>
    <sheetView tabSelected="1" workbookViewId="0">
      <selection activeCell="C12" sqref="C12"/>
    </sheetView>
  </sheetViews>
  <sheetFormatPr defaultRowHeight="15" x14ac:dyDescent="0.25"/>
  <cols>
    <col min="1" max="1" width="19.28515625" bestFit="1" customWidth="1"/>
    <col min="2" max="2" width="8.28515625" bestFit="1" customWidth="1"/>
    <col min="3" max="3" width="32.28515625" bestFit="1" customWidth="1"/>
    <col min="4" max="4" width="12.7109375" bestFit="1" customWidth="1"/>
    <col min="5" max="5" width="13.7109375" bestFit="1" customWidth="1"/>
    <col min="6" max="6" width="25.7109375" bestFit="1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14</v>
      </c>
      <c r="B2" t="s">
        <v>15</v>
      </c>
      <c r="C2" t="s">
        <v>16</v>
      </c>
      <c r="D2">
        <v>273.14999999999998</v>
      </c>
      <c r="E2">
        <f>334000*(0.018)</f>
        <v>6012</v>
      </c>
      <c r="F2">
        <v>-285802</v>
      </c>
    </row>
    <row r="3" spans="1:6" x14ac:dyDescent="0.25">
      <c r="A3" s="3" t="s">
        <v>11</v>
      </c>
      <c r="B3" t="s">
        <v>12</v>
      </c>
      <c r="C3" t="s">
        <v>18</v>
      </c>
      <c r="D3">
        <f>79+273.15</f>
        <v>352.15</v>
      </c>
      <c r="E3">
        <v>7730</v>
      </c>
      <c r="F3">
        <v>-315890</v>
      </c>
    </row>
    <row r="4" spans="1:6" x14ac:dyDescent="0.25">
      <c r="A4" s="3" t="s">
        <v>6</v>
      </c>
      <c r="B4" t="s">
        <v>7</v>
      </c>
      <c r="C4" t="s">
        <v>9</v>
      </c>
      <c r="D4">
        <f>133+273.15</f>
        <v>406.15</v>
      </c>
      <c r="E4">
        <v>10340</v>
      </c>
      <c r="F4">
        <v>-333330</v>
      </c>
    </row>
    <row r="5" spans="1:6" x14ac:dyDescent="0.25">
      <c r="A5" s="3" t="s">
        <v>13</v>
      </c>
      <c r="C5" t="s">
        <v>20</v>
      </c>
      <c r="D5">
        <v>363.7</v>
      </c>
      <c r="E5">
        <v>12500</v>
      </c>
      <c r="F5">
        <v>49800</v>
      </c>
    </row>
    <row r="6" spans="1:6" x14ac:dyDescent="0.25">
      <c r="A6" s="4" t="s">
        <v>8</v>
      </c>
      <c r="B6" s="5"/>
      <c r="C6" s="5" t="s">
        <v>10</v>
      </c>
      <c r="D6" s="5">
        <v>283.45999999999998</v>
      </c>
      <c r="E6" s="5">
        <v>13800</v>
      </c>
      <c r="F6" s="5">
        <v>-507500</v>
      </c>
    </row>
    <row r="7" spans="1:6" x14ac:dyDescent="0.25">
      <c r="A7" s="4" t="s">
        <v>21</v>
      </c>
      <c r="B7" s="5"/>
      <c r="C7" s="5" t="s">
        <v>22</v>
      </c>
      <c r="D7" s="5">
        <f>273.15+124</f>
        <v>397.15</v>
      </c>
      <c r="E7" s="5">
        <v>15800</v>
      </c>
      <c r="F7" s="5"/>
    </row>
    <row r="8" spans="1:6" x14ac:dyDescent="0.25">
      <c r="A8" s="4" t="s">
        <v>30</v>
      </c>
      <c r="B8" s="5" t="s">
        <v>31</v>
      </c>
      <c r="C8" s="5"/>
      <c r="D8" s="5">
        <f>(209.1+209.15)/2</f>
        <v>209.125</v>
      </c>
      <c r="E8" s="5">
        <f>(17.78+17.795)/2*1000</f>
        <v>17787.5</v>
      </c>
      <c r="F8" s="5">
        <f>(-556.4-569.4)/2*1000</f>
        <v>-562900</v>
      </c>
    </row>
    <row r="9" spans="1:6" x14ac:dyDescent="0.25">
      <c r="A9" s="3" t="s">
        <v>28</v>
      </c>
      <c r="B9" t="s">
        <v>29</v>
      </c>
      <c r="D9" s="6">
        <f>(292+291+293+291.75)/4</f>
        <v>291.9375</v>
      </c>
      <c r="E9">
        <f>(18.303+18.285+18.28+18.476)/4*1000</f>
        <v>18336</v>
      </c>
      <c r="F9">
        <f>(-669.6-668.6)/2</f>
        <v>-669.1</v>
      </c>
    </row>
    <row r="10" spans="1:6" x14ac:dyDescent="0.25">
      <c r="A10" s="4" t="s">
        <v>17</v>
      </c>
      <c r="B10" s="5"/>
      <c r="C10" s="5" t="s">
        <v>19</v>
      </c>
      <c r="D10" s="5">
        <v>284.2</v>
      </c>
      <c r="E10" s="5">
        <v>21830</v>
      </c>
      <c r="F10" s="5">
        <v>-63010</v>
      </c>
    </row>
    <row r="11" spans="1:6" x14ac:dyDescent="0.25">
      <c r="A11" s="4" t="s">
        <v>23</v>
      </c>
      <c r="B11" s="5"/>
      <c r="C11" s="5" t="s">
        <v>24</v>
      </c>
      <c r="D11" s="5">
        <f>273.15+108</f>
        <v>381.15</v>
      </c>
      <c r="E11" s="5"/>
      <c r="F11" s="5">
        <v>-133400</v>
      </c>
    </row>
    <row r="12" spans="1:6" x14ac:dyDescent="0.25">
      <c r="A12" s="4" t="s">
        <v>25</v>
      </c>
      <c r="B12" s="5"/>
      <c r="C12" s="5" t="s">
        <v>26</v>
      </c>
      <c r="D12" s="5">
        <f>273.15+268</f>
        <v>541.15</v>
      </c>
      <c r="E12" s="5"/>
      <c r="F12" s="5">
        <v>-190800</v>
      </c>
    </row>
    <row r="13" spans="1:6" x14ac:dyDescent="0.25">
      <c r="A13" s="4" t="s">
        <v>27</v>
      </c>
      <c r="B13" s="5"/>
      <c r="C13" s="5"/>
      <c r="D13" s="5">
        <v>673.15</v>
      </c>
      <c r="E13" s="5"/>
      <c r="F13" s="5"/>
    </row>
    <row r="14" spans="1:6" x14ac:dyDescent="0.25">
      <c r="A14" s="4" t="s">
        <v>32</v>
      </c>
      <c r="B14" s="5"/>
      <c r="C14" s="5" t="s">
        <v>33</v>
      </c>
      <c r="D14" s="5"/>
      <c r="E14" s="5"/>
      <c r="F14" s="5"/>
    </row>
  </sheetData>
  <autoFilter ref="A1:F1" xr:uid="{3399CF41-2FA5-4790-AC55-DE65A2BCB50A}">
    <sortState xmlns:xlrd2="http://schemas.microsoft.com/office/spreadsheetml/2017/richdata2" ref="A2:F14">
      <sortCondition ref="E1"/>
    </sortState>
  </autoFilter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86A1-84C7-4241-A3B9-138356725320}">
  <dimension ref="A1:F6"/>
  <sheetViews>
    <sheetView workbookViewId="0">
      <selection activeCell="A7" sqref="A7:XFD7"/>
    </sheetView>
  </sheetViews>
  <sheetFormatPr defaultRowHeight="15" x14ac:dyDescent="0.25"/>
  <cols>
    <col min="1" max="1" width="19.28515625" bestFit="1" customWidth="1"/>
    <col min="2" max="2" width="8.28515625" bestFit="1" customWidth="1"/>
    <col min="3" max="3" width="8.85546875" bestFit="1" customWidth="1"/>
    <col min="4" max="4" width="12.7109375" bestFit="1" customWidth="1"/>
    <col min="5" max="5" width="13.7109375" bestFit="1" customWidth="1"/>
    <col min="6" max="6" width="25.7109375" bestFit="1" customWidth="1"/>
  </cols>
  <sheetData>
    <row r="1" spans="1:6" ht="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11</v>
      </c>
      <c r="B2" t="s">
        <v>12</v>
      </c>
      <c r="C2" t="s">
        <v>18</v>
      </c>
      <c r="D2">
        <f>79+273.15</f>
        <v>352.15</v>
      </c>
      <c r="E2">
        <v>7730</v>
      </c>
      <c r="F2">
        <v>-315890</v>
      </c>
    </row>
    <row r="3" spans="1:6" x14ac:dyDescent="0.25">
      <c r="A3" s="3" t="s">
        <v>17</v>
      </c>
      <c r="C3" t="s">
        <v>19</v>
      </c>
      <c r="D3">
        <v>284.2</v>
      </c>
      <c r="E3">
        <v>21830</v>
      </c>
      <c r="F3">
        <v>-63010</v>
      </c>
    </row>
    <row r="4" spans="1:6" x14ac:dyDescent="0.25">
      <c r="A4" s="3" t="s">
        <v>13</v>
      </c>
      <c r="C4" t="s">
        <v>20</v>
      </c>
      <c r="D4">
        <v>363.7</v>
      </c>
      <c r="E4">
        <v>12500</v>
      </c>
      <c r="F4">
        <v>49800</v>
      </c>
    </row>
    <row r="5" spans="1:6" x14ac:dyDescent="0.25">
      <c r="A5" s="3" t="s">
        <v>8</v>
      </c>
      <c r="C5" t="s">
        <v>10</v>
      </c>
      <c r="D5">
        <v>283.45999999999998</v>
      </c>
      <c r="E5">
        <v>13800</v>
      </c>
      <c r="F5">
        <v>-507500</v>
      </c>
    </row>
    <row r="6" spans="1:6" x14ac:dyDescent="0.25">
      <c r="A6" s="3" t="s">
        <v>6</v>
      </c>
      <c r="B6" t="s">
        <v>7</v>
      </c>
      <c r="C6" t="s">
        <v>9</v>
      </c>
      <c r="D6">
        <f>133+273.15</f>
        <v>406.15</v>
      </c>
      <c r="E6">
        <v>10340</v>
      </c>
      <c r="F6">
        <v>-333330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 Glotov</dc:creator>
  <cp:lastModifiedBy>Alexander J Glotov</cp:lastModifiedBy>
  <dcterms:created xsi:type="dcterms:W3CDTF">2026-07-02T18:49:05Z</dcterms:created>
  <dcterms:modified xsi:type="dcterms:W3CDTF">2026-07-08T17:59:50Z</dcterms:modified>
</cp:coreProperties>
</file>